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90" yWindow="390" windowWidth="22620" windowHeight="15075" tabRatio="600" firstSheet="0" activeTab="0" autoFilterDateGrouping="1"/>
  </bookViews>
  <sheets>
    <sheet name="納品書" sheetId="1" state="visible" r:id="rId1"/>
  </sheets>
  <definedNames>
    <definedName name="_xlnm._FilterDatabase" localSheetId="0" hidden="1">'納品書'!$A$13:$G$74</definedName>
    <definedName name="_xlnm.Print_Area" localSheetId="0">'納品書'!$A$1:$H$74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@&quot;*&quot;"/>
    <numFmt numFmtId="165" formatCode="[$]ggge&quot;年&quot;m&quot;月&quot;d&quot;日&quot;;@"/>
    <numFmt numFmtId="166" formatCode="&quot;¥&quot;#,##0;[Red]&quot;¥&quot;\-#,##0"/>
    <numFmt numFmtId="167" formatCode="[$-411]ggge&quot;年&quot;m&quot;月&quot;d&quot;日&quot;\(aaa\)"/>
  </numFmts>
  <fonts count="25">
    <font>
      <name val="Yu Gothic"/>
      <family val="2"/>
      <color theme="1"/>
      <sz val="11"/>
      <scheme val="minor"/>
    </font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Yu Gothic"/>
      <charset val="128"/>
      <family val="3"/>
      <b val="1"/>
      <color theme="1"/>
      <sz val="14"/>
      <scheme val="minor"/>
    </font>
    <font>
      <name val="Yu Gothic"/>
      <charset val="128"/>
      <family val="2"/>
      <sz val="6"/>
      <scheme val="minor"/>
    </font>
    <font>
      <name val="Yu Gothic"/>
      <family val="2"/>
      <color theme="1"/>
      <sz val="9"/>
      <scheme val="minor"/>
    </font>
    <font>
      <name val="Yu Gothic"/>
      <charset val="128"/>
      <family val="3"/>
      <b val="1"/>
      <color theme="1"/>
      <sz val="10"/>
      <scheme val="minor"/>
    </font>
    <font>
      <name val="Yu Gothic"/>
      <charset val="128"/>
      <family val="3"/>
      <color theme="1"/>
      <sz val="12"/>
      <scheme val="minor"/>
    </font>
    <font>
      <name val="Yu Gothic"/>
      <charset val="128"/>
      <family val="3"/>
      <b val="1"/>
      <color theme="1"/>
      <sz val="12"/>
      <scheme val="minor"/>
    </font>
    <font>
      <name val="Yu Gothic"/>
      <charset val="128"/>
      <family val="3"/>
      <b val="1"/>
      <color theme="1"/>
      <sz val="11"/>
      <scheme val="minor"/>
    </font>
    <font>
      <name val="Yu Gothic"/>
      <charset val="128"/>
      <family val="2"/>
      <color theme="1"/>
      <sz val="9"/>
      <scheme val="minor"/>
    </font>
    <font>
      <name val="Yu Gothic"/>
      <family val="2"/>
      <color theme="1"/>
      <sz val="10"/>
      <scheme val="minor"/>
    </font>
    <font>
      <name val="Yu Gothic"/>
      <charset val="128"/>
      <family val="3"/>
      <color theme="1"/>
      <sz val="10"/>
      <scheme val="minor"/>
    </font>
    <font>
      <name val="Yu Gothic"/>
      <family val="2"/>
      <color theme="1"/>
      <sz val="16"/>
      <scheme val="minor"/>
    </font>
    <font>
      <name val="Yu Gothic"/>
      <charset val="128"/>
      <family val="3"/>
      <b val="1"/>
      <color theme="1"/>
      <sz val="16"/>
      <scheme val="minor"/>
    </font>
    <font>
      <name val="Yu Gothic"/>
      <charset val="128"/>
      <family val="3"/>
      <b val="1"/>
      <color theme="1"/>
      <sz val="18"/>
      <scheme val="minor"/>
    </font>
    <font>
      <name val="Yu Gothic"/>
      <charset val="128"/>
      <family val="3"/>
      <color theme="1"/>
      <sz val="9"/>
      <scheme val="minor"/>
    </font>
    <font>
      <name val="Yu Gothic"/>
      <charset val="128"/>
      <family val="3"/>
      <color theme="1"/>
      <sz val="11"/>
      <scheme val="minor"/>
    </font>
    <font>
      <name val="Yu Gothic"/>
      <charset val="128"/>
      <family val="3"/>
      <color theme="1"/>
      <sz val="8"/>
      <scheme val="minor"/>
    </font>
    <font>
      <name val="Yu Gothic"/>
      <charset val="128"/>
      <family val="3"/>
      <color theme="1"/>
      <sz val="18"/>
      <scheme val="minor"/>
    </font>
    <font>
      <name val="Yu Gothic"/>
      <charset val="128"/>
      <family val="3"/>
      <b val="1"/>
      <color indexed="8"/>
      <sz val="11"/>
      <scheme val="minor"/>
    </font>
    <font>
      <name val="Yu Gothic"/>
      <charset val="128"/>
      <family val="3"/>
      <b val="1"/>
      <color indexed="8"/>
      <sz val="9"/>
      <scheme val="minor"/>
    </font>
    <font>
      <name val="Yu Gothic"/>
      <charset val="128"/>
      <family val="3"/>
      <color indexed="8"/>
      <sz val="10"/>
      <scheme val="minor"/>
    </font>
    <font>
      <name val="Yu Gothic"/>
      <charset val="128"/>
      <family val="3"/>
      <b val="1"/>
      <color theme="1"/>
      <sz val="9"/>
      <scheme val="minor"/>
    </font>
    <font>
      <name val="Yu Gothic"/>
      <charset val="128"/>
      <family val="3"/>
      <b val="1"/>
      <color theme="1"/>
      <sz val="13"/>
      <scheme val="minor"/>
    </font>
  </fonts>
  <fills count="6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7F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1" fillId="0" borderId="0"/>
    <xf numFmtId="38" fontId="1" fillId="0" borderId="0" applyAlignment="1">
      <alignment vertical="center"/>
    </xf>
    <xf numFmtId="9" fontId="1" fillId="0" borderId="0" applyAlignment="1">
      <alignment vertical="center"/>
    </xf>
  </cellStyleXfs>
  <cellXfs count="128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/>
    </xf>
    <xf numFmtId="0" fontId="11" fillId="0" borderId="3" pivotButton="0" quotePrefix="0" xfId="0"/>
    <xf numFmtId="0" fontId="12" fillId="0" borderId="3" pivotButton="0" quotePrefix="0" xfId="0"/>
    <xf numFmtId="0" fontId="18" fillId="0" borderId="0" applyAlignment="1" pivotButton="0" quotePrefix="0" xfId="0">
      <alignment horizontal="center" shrinkToFit="1"/>
    </xf>
    <xf numFmtId="0" fontId="18" fillId="0" borderId="0" pivotButton="0" quotePrefix="0" xfId="0"/>
    <xf numFmtId="0" fontId="0" fillId="0" borderId="6" applyAlignment="1" pivotButton="0" quotePrefix="0" xfId="0">
      <alignment vertical="center"/>
    </xf>
    <xf numFmtId="0" fontId="8" fillId="0" borderId="7" applyAlignment="1" pivotButton="0" quotePrefix="0" xfId="0">
      <alignment horizontal="center" vertical="center"/>
    </xf>
    <xf numFmtId="0" fontId="0" fillId="0" borderId="0" applyAlignment="1" applyProtection="1" pivotButton="0" quotePrefix="0" xfId="0">
      <alignment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center" vertical="center"/>
      <protection locked="0" hidden="0"/>
    </xf>
    <xf numFmtId="0" fontId="14" fillId="3" borderId="0" applyAlignment="1" applyProtection="1" pivotButton="0" quotePrefix="0" xfId="0">
      <alignment horizontal="center" vertical="center" shrinkToFit="1"/>
      <protection locked="0" hidden="0"/>
    </xf>
    <xf numFmtId="0" fontId="0" fillId="0" borderId="2" applyAlignment="1" applyProtection="1" pivotButton="0" quotePrefix="0" xfId="0">
      <alignment vertical="center"/>
      <protection locked="0" hidden="0"/>
    </xf>
    <xf numFmtId="0" fontId="0" fillId="0" borderId="2" applyAlignment="1" applyProtection="1" pivotButton="0" quotePrefix="0" xfId="0">
      <alignment vertical="center" shrinkToFit="1"/>
      <protection locked="0" hidden="0"/>
    </xf>
    <xf numFmtId="0" fontId="0" fillId="0" borderId="2" applyAlignment="1" applyProtection="1" pivotButton="0" quotePrefix="0" xfId="0">
      <alignment horizontal="center" vertical="center" shrinkToFit="1"/>
      <protection locked="0" hidden="0"/>
    </xf>
    <xf numFmtId="38" fontId="0" fillId="0" borderId="2" applyAlignment="1" applyProtection="1" pivotButton="0" quotePrefix="0" xfId="1">
      <alignment vertical="center"/>
      <protection locked="0" hidden="0"/>
    </xf>
    <xf numFmtId="38" fontId="0" fillId="0" borderId="2" applyAlignment="1" applyProtection="1" pivotButton="0" quotePrefix="0" xfId="1">
      <alignment horizontal="center" vertical="center"/>
      <protection locked="0" hidden="0"/>
    </xf>
    <xf numFmtId="0" fontId="0" fillId="0" borderId="2" applyAlignment="1" applyProtection="1" pivotButton="0" quotePrefix="0" xfId="0">
      <alignment horizontal="center" vertical="center"/>
      <protection locked="0" hidden="0"/>
    </xf>
    <xf numFmtId="38" fontId="0" fillId="0" borderId="2" applyAlignment="1" applyProtection="1" pivotButton="0" quotePrefix="0" xfId="0">
      <alignment horizontal="center" vertical="center"/>
      <protection locked="0" hidden="0"/>
    </xf>
    <xf numFmtId="0" fontId="5" fillId="0" borderId="2" applyAlignment="1" applyProtection="1" pivotButton="0" quotePrefix="0" xfId="0">
      <alignment vertical="center"/>
      <protection locked="0" hidden="0"/>
    </xf>
    <xf numFmtId="0" fontId="10" fillId="0" borderId="2" applyAlignment="1" applyProtection="1" pivotButton="0" quotePrefix="0" xfId="0">
      <alignment vertical="center"/>
      <protection locked="0" hidden="0"/>
    </xf>
    <xf numFmtId="0" fontId="11" fillId="0" borderId="2" applyAlignment="1" applyProtection="1" pivotButton="0" quotePrefix="0" xfId="0">
      <alignment vertical="center"/>
      <protection locked="0" hidden="0"/>
    </xf>
    <xf numFmtId="38" fontId="9" fillId="0" borderId="2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38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38" fontId="20" fillId="0" borderId="4" applyAlignment="1" pivotButton="0" quotePrefix="0" xfId="0">
      <alignment vertical="center"/>
    </xf>
    <xf numFmtId="38" fontId="9" fillId="0" borderId="4" applyAlignment="1" pivotButton="0" quotePrefix="0" xfId="0">
      <alignment vertical="center"/>
    </xf>
    <xf numFmtId="9" fontId="0" fillId="0" borderId="2" applyAlignment="1" applyProtection="1" pivotButton="0" quotePrefix="0" xfId="2">
      <alignment vertical="center"/>
      <protection locked="0" hidden="0"/>
    </xf>
    <xf numFmtId="9" fontId="0" fillId="0" borderId="2" applyAlignment="1" applyProtection="1" pivotButton="0" quotePrefix="0" xfId="1">
      <alignment vertical="center"/>
      <protection locked="0" hidden="0"/>
    </xf>
    <xf numFmtId="38" fontId="16" fillId="0" borderId="0" applyAlignment="1" applyProtection="1" pivotButton="0" quotePrefix="0" xfId="1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9" fontId="0" fillId="0" borderId="0" applyAlignment="1" applyProtection="1" pivotButton="0" quotePrefix="0" xfId="0">
      <alignment vertical="center"/>
      <protection locked="0" hidden="0"/>
    </xf>
    <xf numFmtId="38" fontId="0" fillId="0" borderId="2" applyAlignment="1" pivotButton="0" quotePrefix="0" xfId="1">
      <alignment vertical="center"/>
    </xf>
    <xf numFmtId="38" fontId="16" fillId="0" borderId="2" applyAlignment="1" pivotButton="0" quotePrefix="0" xfId="1">
      <alignment vertical="center"/>
    </xf>
    <xf numFmtId="38" fontId="6" fillId="5" borderId="2" applyAlignment="1" pivotButton="0" quotePrefix="0" xfId="1">
      <alignment vertical="center"/>
    </xf>
    <xf numFmtId="1" fontId="0" fillId="0" borderId="2" applyAlignment="1" pivotButton="0" quotePrefix="0" xfId="0">
      <alignment vertical="center"/>
    </xf>
    <xf numFmtId="9" fontId="0" fillId="0" borderId="2" applyAlignment="1" pivotButton="0" quotePrefix="0" xfId="2">
      <alignment vertical="center"/>
    </xf>
    <xf numFmtId="38" fontId="0" fillId="0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6" fillId="2" borderId="2" applyAlignment="1" pivotButton="0" quotePrefix="0" xfId="0">
      <alignment horizontal="center" vertical="center" wrapText="1" shrinkToFit="1"/>
    </xf>
    <xf numFmtId="0" fontId="16" fillId="2" borderId="2" applyAlignment="1" pivotButton="0" quotePrefix="0" xfId="0">
      <alignment horizontal="center" vertical="center" shrinkToFit="1"/>
    </xf>
    <xf numFmtId="56" fontId="12" fillId="2" borderId="2" applyAlignment="1" pivotButton="0" quotePrefix="0" xfId="0">
      <alignment horizontal="center" vertical="center" shrinkToFit="1"/>
    </xf>
    <xf numFmtId="0" fontId="16" fillId="5" borderId="2" applyAlignment="1" pivotButton="0" quotePrefix="0" xfId="0">
      <alignment horizontal="center" vertical="center"/>
    </xf>
    <xf numFmtId="38" fontId="16" fillId="5" borderId="2" applyAlignment="1" pivotButton="0" quotePrefix="0" xfId="1">
      <alignment horizontal="center" vertical="center"/>
    </xf>
    <xf numFmtId="0" fontId="20" fillId="0" borderId="15" applyAlignment="1" pivotButton="0" quotePrefix="0" xfId="0">
      <alignment horizontal="center" vertical="center" shrinkToFit="1"/>
    </xf>
    <xf numFmtId="0" fontId="20" fillId="0" borderId="13" applyAlignment="1" pivotButton="0" quotePrefix="0" xfId="0">
      <alignment horizontal="center" vertical="center" shrinkToFit="1"/>
    </xf>
    <xf numFmtId="0" fontId="12" fillId="0" borderId="4" applyAlignment="1" pivotButton="0" quotePrefix="0" xfId="0">
      <alignment vertical="center"/>
    </xf>
    <xf numFmtId="0" fontId="12" fillId="0" borderId="4" applyAlignment="1" pivotButton="0" quotePrefix="0" xfId="0">
      <alignment horizontal="center" vertical="center" wrapText="1" shrinkToFit="1"/>
    </xf>
    <xf numFmtId="0" fontId="12" fillId="0" borderId="4" applyAlignment="1" pivotButton="0" quotePrefix="0" xfId="0">
      <alignment horizontal="center" vertical="center"/>
    </xf>
    <xf numFmtId="164" fontId="12" fillId="0" borderId="4" applyAlignment="1" pivotButton="0" quotePrefix="0" xfId="0">
      <alignment vertical="center" shrinkToFit="1"/>
    </xf>
    <xf numFmtId="38" fontId="12" fillId="0" borderId="4" applyAlignment="1" pivotButton="0" quotePrefix="0" xfId="1">
      <alignment vertical="center"/>
    </xf>
    <xf numFmtId="38" fontId="12" fillId="0" borderId="4" applyAlignment="1" pivotButton="0" quotePrefix="0" xfId="0">
      <alignment vertical="center"/>
    </xf>
    <xf numFmtId="0" fontId="12" fillId="0" borderId="2" applyAlignment="1" pivotButton="0" quotePrefix="0" xfId="0">
      <alignment vertical="center"/>
    </xf>
    <xf numFmtId="38" fontId="12" fillId="0" borderId="2" applyAlignment="1" pivotButton="0" quotePrefix="0" xfId="1">
      <alignment vertical="center"/>
    </xf>
    <xf numFmtId="38" fontId="12" fillId="0" borderId="2" applyAlignment="1" pivotButton="0" quotePrefix="0" xfId="0">
      <alignment vertical="center"/>
    </xf>
    <xf numFmtId="0" fontId="12" fillId="0" borderId="5" applyAlignment="1" pivotButton="0" quotePrefix="0" xfId="0">
      <alignment vertical="center"/>
    </xf>
    <xf numFmtId="0" fontId="12" fillId="0" borderId="11" applyAlignment="1" pivotButton="0" quotePrefix="0" xfId="0">
      <alignment vertical="center"/>
    </xf>
    <xf numFmtId="49" fontId="12" fillId="0" borderId="11" applyAlignment="1" pivotButton="0" quotePrefix="0" xfId="0">
      <alignment vertical="center" shrinkToFit="1"/>
    </xf>
    <xf numFmtId="38" fontId="12" fillId="0" borderId="11" applyAlignment="1" pivotButton="0" quotePrefix="0" xfId="1">
      <alignment vertical="center"/>
    </xf>
    <xf numFmtId="38" fontId="12" fillId="0" borderId="11" applyAlignment="1" pivotButton="0" quotePrefix="0" xfId="0">
      <alignment vertical="center"/>
    </xf>
    <xf numFmtId="0" fontId="12" fillId="0" borderId="0" applyAlignment="1" pivotButton="0" quotePrefix="0" xfId="0">
      <alignment horizontal="left"/>
    </xf>
    <xf numFmtId="0" fontId="15" fillId="0" borderId="0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17" fillId="0" borderId="0" applyAlignment="1" applyProtection="1" pivotButton="0" quotePrefix="0" xfId="0">
      <alignment vertical="center"/>
      <protection locked="0" hidden="0"/>
    </xf>
    <xf numFmtId="38" fontId="17" fillId="0" borderId="2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165" fontId="8" fillId="0" borderId="1" applyAlignment="1" pivotButton="0" quotePrefix="0" xfId="0">
      <alignment horizontal="center"/>
    </xf>
    <xf numFmtId="166" fontId="19" fillId="0" borderId="7" applyAlignment="1" pivotButton="0" quotePrefix="0" xfId="0">
      <alignment horizontal="center" vertical="center"/>
    </xf>
    <xf numFmtId="166" fontId="19" fillId="0" borderId="8" applyAlignment="1" pivotButton="0" quotePrefix="0" xfId="0">
      <alignment horizontal="center" vertical="center"/>
    </xf>
    <xf numFmtId="0" fontId="20" fillId="0" borderId="12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20" fillId="0" borderId="12" applyAlignment="1" pivotButton="0" quotePrefix="0" xfId="0">
      <alignment horizontal="center" vertical="center" shrinkToFit="1"/>
    </xf>
    <xf numFmtId="0" fontId="20" fillId="0" borderId="4" applyAlignment="1" pivotButton="0" quotePrefix="0" xfId="0">
      <alignment horizontal="center" vertical="center" shrinkToFit="1"/>
    </xf>
    <xf numFmtId="0" fontId="21" fillId="0" borderId="13" applyAlignment="1" pivotButton="0" quotePrefix="0" xfId="0">
      <alignment horizontal="center" vertical="center" shrinkToFit="1"/>
    </xf>
    <xf numFmtId="0" fontId="21" fillId="0" borderId="14" applyAlignment="1" pivotButton="0" quotePrefix="0" xfId="0">
      <alignment horizontal="center" vertical="center" shrinkToFit="1"/>
    </xf>
    <xf numFmtId="0" fontId="21" fillId="0" borderId="9" applyAlignment="1" pivotButton="0" quotePrefix="0" xfId="0">
      <alignment horizontal="center" vertical="center" shrinkToFit="1"/>
    </xf>
    <xf numFmtId="0" fontId="21" fillId="0" borderId="1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center" vertical="center"/>
    </xf>
    <xf numFmtId="0" fontId="12" fillId="0" borderId="16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2" fillId="0" borderId="16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22" fillId="0" borderId="17" applyAlignment="1" pivotButton="0" quotePrefix="0" xfId="0">
      <alignment horizontal="center"/>
    </xf>
    <xf numFmtId="56" fontId="12" fillId="0" borderId="16" applyAlignment="1" pivotButton="0" quotePrefix="0" xfId="0">
      <alignment horizontal="center" vertical="center" shrinkToFit="1"/>
    </xf>
    <xf numFmtId="56" fontId="12" fillId="0" borderId="4" applyAlignment="1" pivotButton="0" quotePrefix="0" xfId="0">
      <alignment horizontal="center" vertical="center" shrinkToFit="1"/>
    </xf>
    <xf numFmtId="166" fontId="12" fillId="0" borderId="17" applyAlignment="1" pivotButton="0" quotePrefix="0" xfId="0">
      <alignment horizontal="center"/>
    </xf>
    <xf numFmtId="0" fontId="18" fillId="0" borderId="6" applyAlignment="1" pivotButton="0" quotePrefix="0" xfId="0">
      <alignment horizontal="left" vertical="top"/>
    </xf>
    <xf numFmtId="0" fontId="18" fillId="0" borderId="8" applyAlignment="1" pivotButton="0" quotePrefix="0" xfId="0">
      <alignment horizontal="left" vertical="top"/>
    </xf>
    <xf numFmtId="0" fontId="24" fillId="0" borderId="1" applyAlignment="1" pivotButton="0" quotePrefix="0" xfId="0">
      <alignment horizontal="center" vertical="center"/>
    </xf>
    <xf numFmtId="0" fontId="8" fillId="0" borderId="1" applyAlignment="1" applyProtection="1" pivotButton="0" quotePrefix="0" xfId="0">
      <alignment horizontal="center" vertical="center"/>
      <protection locked="0" hidden="0"/>
    </xf>
    <xf numFmtId="167" fontId="9" fillId="4" borderId="1" applyAlignment="1" applyProtection="1" pivotButton="0" quotePrefix="0" xfId="0">
      <alignment horizontal="center" vertical="center"/>
      <protection locked="0" hidden="0"/>
    </xf>
    <xf numFmtId="0" fontId="5" fillId="0" borderId="0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/>
    </xf>
    <xf numFmtId="165" fontId="8" fillId="0" borderId="1" applyAlignment="1" pivotButton="0" quotePrefix="0" xfId="0">
      <alignment horizontal="center"/>
    </xf>
    <xf numFmtId="0" fontId="0" fillId="0" borderId="1" pivotButton="0" quotePrefix="0" xfId="0"/>
    <xf numFmtId="166" fontId="19" fillId="0" borderId="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8" fillId="0" borderId="5" applyAlignment="1" pivotButton="0" quotePrefix="0" xfId="0">
      <alignment horizontal="left" vertical="top"/>
    </xf>
    <xf numFmtId="0" fontId="12" fillId="0" borderId="17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 wrapText="1"/>
    </xf>
    <xf numFmtId="0" fontId="0" fillId="0" borderId="23" pivotButton="0" quotePrefix="0" xfId="0"/>
    <xf numFmtId="56" fontId="12" fillId="0" borderId="17" applyAlignment="1" pivotButton="0" quotePrefix="0" xfId="0">
      <alignment horizontal="center" vertical="center" shrinkToFit="1"/>
    </xf>
    <xf numFmtId="166" fontId="12" fillId="0" borderId="17" applyAlignment="1" pivotButton="0" quotePrefix="0" xfId="0">
      <alignment horizontal="center"/>
    </xf>
    <xf numFmtId="0" fontId="0" fillId="0" borderId="4" pivotButton="0" quotePrefix="0" xfId="0"/>
    <xf numFmtId="164" fontId="12" fillId="0" borderId="4" applyAlignment="1" pivotButton="0" quotePrefix="0" xfId="0">
      <alignment vertical="center" shrinkToFit="1"/>
    </xf>
    <xf numFmtId="0" fontId="21" fillId="0" borderId="4" applyAlignment="1" pivotButton="0" quotePrefix="0" xfId="0">
      <alignment horizontal="center" vertical="center" shrinkToFit="1"/>
    </xf>
    <xf numFmtId="0" fontId="0" fillId="0" borderId="14" pivotButton="0" quotePrefix="0" xfId="0"/>
    <xf numFmtId="0" fontId="21" fillId="0" borderId="2" applyAlignment="1" pivotButton="0" quotePrefix="0" xfId="0">
      <alignment horizontal="center" vertical="center" shrinkToFit="1"/>
    </xf>
    <xf numFmtId="0" fontId="0" fillId="0" borderId="10" pivotButton="0" quotePrefix="0" xfId="0"/>
  </cellXfs>
  <cellStyles count="3">
    <cellStyle name="標準" xfId="0" builtinId="0"/>
    <cellStyle name="桁区切り" xfId="1" builtinId="6"/>
    <cellStyle name="パーセント" xfId="2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 filterMode="1">
    <tabColor rgb="FFFFFFCC"/>
    <outlinePr summaryBelow="1" summaryRight="1"/>
    <pageSetUpPr fitToPage="1"/>
  </sheetPr>
  <dimension ref="A1:L74"/>
  <sheetViews>
    <sheetView workbookViewId="0">
      <selection activeCell="C27" sqref="C26:C27"/>
    </sheetView>
  </sheetViews>
  <sheetFormatPr baseColWidth="8" defaultColWidth="8.75" defaultRowHeight="18.75"/>
  <cols>
    <col width="3.125" customWidth="1" style="1" min="1" max="1"/>
    <col width="22.375" customWidth="1" style="1" min="2" max="2"/>
    <col width="6.375" customWidth="1" style="1" min="3" max="3"/>
    <col width="7" customWidth="1" style="1" min="4" max="4"/>
    <col width="6.625" customWidth="1" style="1" min="5" max="5"/>
    <col width="7.875" customWidth="1" style="1" min="6" max="6"/>
    <col width="8.375" customWidth="1" style="1" min="7" max="7"/>
    <col width="0.875" customWidth="1" style="1" min="8" max="8"/>
    <col width="8.75" customWidth="1" style="1" min="9" max="16384"/>
  </cols>
  <sheetData>
    <row r="1" ht="13.9" customHeight="1">
      <c r="G1" s="13" t="inlineStr">
        <is>
          <t>№</t>
        </is>
      </c>
    </row>
    <row r="2" ht="24" customHeight="1" thickBot="1">
      <c r="B2" s="77" t="inlineStr">
        <is>
          <t>納  品  書</t>
        </is>
      </c>
      <c r="C2" s="111" t="n"/>
      <c r="D2" s="112" t="n"/>
      <c r="E2" s="112" t="n"/>
      <c r="F2" s="1" t="n"/>
    </row>
    <row r="3" ht="9.6" customHeight="1" thickTop="1"/>
    <row r="4" ht="14.45" customHeight="1">
      <c r="D4" s="93" t="inlineStr">
        <is>
          <t>仙台市太白区秋保湯元字寺田原45-11</t>
        </is>
      </c>
    </row>
    <row r="5" ht="14.25" customHeight="1">
      <c r="D5" s="94" t="inlineStr">
        <is>
          <t xml:space="preserve">　有 限 会 社　マ　ル　カ</t>
        </is>
      </c>
    </row>
    <row r="6" ht="13.5" customHeight="1">
      <c r="E6" s="109" t="inlineStr">
        <is>
          <t>TEL　022-398-2408</t>
        </is>
      </c>
    </row>
    <row r="7" ht="13.5" customHeight="1">
      <c r="B7" s="2" t="n"/>
      <c r="C7" s="2" t="n"/>
      <c r="D7" s="8" t="n"/>
      <c r="E7" s="95" t="inlineStr">
        <is>
          <t>FAX　022-397-2817</t>
        </is>
      </c>
      <c r="K7" s="4" t="n"/>
      <c r="L7" s="4" t="n"/>
    </row>
    <row r="8" ht="24.6" customFormat="1" customHeight="1" s="3" thickBot="1">
      <c r="B8" s="106" t="inlineStr">
        <is>
          <t>ファミリーマート</t>
        </is>
      </c>
      <c r="C8" s="106" t="n"/>
      <c r="D8" s="112" t="n"/>
      <c r="E8" s="112" t="n"/>
      <c r="F8" s="5" t="n"/>
    </row>
    <row r="9" ht="18" customFormat="1" customHeight="1" s="3" thickTop="1">
      <c r="B9" s="76" t="inlineStr">
        <is>
          <t>下記のとおり納品いたしました</t>
        </is>
      </c>
      <c r="C9" s="12" t="n"/>
      <c r="D9" s="10" t="n"/>
      <c r="E9" s="15" t="n"/>
      <c r="F9" s="15" t="n"/>
      <c r="G9" s="16" t="n"/>
    </row>
    <row r="10" ht="4.15" customFormat="1" customHeight="1" s="3">
      <c r="B10" s="11" t="n"/>
      <c r="C10" s="11" t="n"/>
      <c r="D10" s="10" t="n"/>
      <c r="E10" s="9" t="n"/>
      <c r="F10" s="9" t="n"/>
    </row>
    <row r="11" ht="32.45" customHeight="1" thickBot="1">
      <c r="A11" s="17" t="n"/>
      <c r="B11" s="18" t="inlineStr">
        <is>
          <t>税込合計金額 ( 原価合計）</t>
        </is>
      </c>
      <c r="C11" s="113">
        <f>G72+G73</f>
        <v/>
      </c>
      <c r="D11" s="114" t="n"/>
      <c r="E11" s="115" t="n"/>
      <c r="F11" s="116" t="inlineStr">
        <is>
          <t>（消費税額等）</t>
        </is>
      </c>
      <c r="G11" s="115" t="n"/>
    </row>
    <row r="12" ht="16.5" customHeight="1" thickTop="1">
      <c r="A12" s="117" t="n"/>
      <c r="B12" s="118" t="inlineStr">
        <is>
          <t>品   名</t>
        </is>
      </c>
      <c r="C12" s="100" t="inlineStr">
        <is>
          <t>単　価</t>
        </is>
      </c>
      <c r="D12" s="119" t="n"/>
      <c r="E12" s="120" t="inlineStr">
        <is>
          <t>数 量</t>
        </is>
      </c>
      <c r="F12" s="121" t="inlineStr">
        <is>
          <t>金　額</t>
        </is>
      </c>
      <c r="G12" s="119" t="n"/>
    </row>
    <row r="13" ht="16.5" customHeight="1">
      <c r="A13" s="122" t="n"/>
      <c r="B13" s="122" t="n"/>
      <c r="C13" s="97" t="inlineStr">
        <is>
          <t>売価</t>
        </is>
      </c>
      <c r="D13" s="63" t="inlineStr">
        <is>
          <t>原価</t>
        </is>
      </c>
      <c r="E13" s="122" t="n"/>
      <c r="F13" s="97" t="inlineStr">
        <is>
          <t>売価</t>
        </is>
      </c>
      <c r="G13" s="63" t="inlineStr">
        <is>
          <t>原価</t>
        </is>
      </c>
    </row>
    <row r="14" ht="13.15" customHeight="1">
      <c r="A14" s="62" t="n"/>
      <c r="B14" s="123" t="n"/>
      <c r="C14" s="66" t="n"/>
      <c r="D14" s="66" t="n"/>
      <c r="E14" s="66" t="n"/>
      <c r="F14" s="67">
        <f>IF($E14="","",$E14*C14)</f>
        <v/>
      </c>
      <c r="G14" s="67">
        <f>IF($E14="","",$E14*D14)</f>
        <v/>
      </c>
    </row>
    <row r="15" hidden="1" ht="13.15" customHeight="1">
      <c r="A15" s="68" t="n"/>
      <c r="B15" s="123" t="n"/>
      <c r="C15" s="66" t="n"/>
      <c r="D15" s="69" t="n"/>
      <c r="E15" s="69" t="n"/>
      <c r="F15" s="67">
        <f>IF($E15="","",$E15*C15)</f>
        <v/>
      </c>
      <c r="G15" s="70">
        <f>IF($E15="","",$E15*D15)</f>
        <v/>
      </c>
    </row>
    <row r="16" ht="12.6" customHeight="1">
      <c r="A16" s="62" t="n"/>
      <c r="B16" s="123" t="n"/>
      <c r="C16" s="66" t="n"/>
      <c r="D16" s="66" t="n"/>
      <c r="E16" s="66" t="n"/>
      <c r="F16" s="67">
        <f>IF($E16="","",$E16*C16)</f>
        <v/>
      </c>
      <c r="G16" s="67">
        <f>IF($E16="","",$E16*D16)</f>
        <v/>
      </c>
    </row>
    <row r="17" hidden="1" ht="12.6" customHeight="1">
      <c r="A17" s="68" t="n"/>
      <c r="B17" s="123" t="n"/>
      <c r="C17" s="66" t="n"/>
      <c r="D17" s="69" t="n"/>
      <c r="E17" s="69" t="n"/>
      <c r="F17" s="67">
        <f>IF($E17="","",$E17*C17)</f>
        <v/>
      </c>
      <c r="G17" s="70">
        <f>IF($E17="","",$E17*D17)</f>
        <v/>
      </c>
    </row>
    <row r="18" ht="13.15" customHeight="1">
      <c r="A18" s="68" t="n"/>
      <c r="B18" s="123" t="n"/>
      <c r="C18" s="66" t="n"/>
      <c r="D18" s="69" t="n"/>
      <c r="E18" s="69" t="n"/>
      <c r="F18" s="67">
        <f>IF($E18="","",$E18*C18)</f>
        <v/>
      </c>
      <c r="G18" s="70">
        <f>IF($E18="","",$E18*D18)</f>
        <v/>
      </c>
    </row>
    <row r="19" hidden="1" ht="13.15" customHeight="1">
      <c r="A19" s="62" t="n"/>
      <c r="B19" s="123" t="n"/>
      <c r="C19" s="66" t="n"/>
      <c r="D19" s="66" t="n"/>
      <c r="E19" s="66" t="n"/>
      <c r="F19" s="67">
        <f>IF($E19="","",$E19*C19)</f>
        <v/>
      </c>
      <c r="G19" s="67">
        <f>IF($E19="","",$E19*D19)</f>
        <v/>
      </c>
    </row>
    <row r="20" ht="13.15" customHeight="1">
      <c r="A20" s="68" t="n"/>
      <c r="B20" s="123" t="n"/>
      <c r="C20" s="66" t="n"/>
      <c r="D20" s="69" t="n"/>
      <c r="E20" s="69" t="n"/>
      <c r="F20" s="67">
        <f>IF($E20="","",$E20*C20)</f>
        <v/>
      </c>
      <c r="G20" s="70">
        <f>IF($E20="","",$E20*D20)</f>
        <v/>
      </c>
    </row>
    <row r="21" ht="13.15" customHeight="1">
      <c r="A21" s="68" t="n"/>
      <c r="B21" s="123" t="n"/>
      <c r="C21" s="66" t="n"/>
      <c r="D21" s="66" t="n"/>
      <c r="E21" s="66" t="n"/>
      <c r="F21" s="67">
        <f>IF($E21="","",$E21*C21)</f>
        <v/>
      </c>
      <c r="G21" s="67">
        <f>IF($E21="","",$E21*D21)</f>
        <v/>
      </c>
    </row>
    <row r="22" hidden="1" ht="13.15" customHeight="1">
      <c r="A22" s="68" t="n"/>
      <c r="B22" s="123" t="n"/>
      <c r="C22" s="66" t="n"/>
      <c r="D22" s="69" t="n"/>
      <c r="E22" s="69" t="n"/>
      <c r="F22" s="67">
        <f>IF($E22="","",$E22*C22)</f>
        <v/>
      </c>
      <c r="G22" s="70">
        <f>IF($E22="","",$E22*D22)</f>
        <v/>
      </c>
    </row>
    <row r="23" ht="13.15" customHeight="1">
      <c r="A23" s="68" t="n"/>
      <c r="B23" s="123" t="n"/>
      <c r="C23" s="66" t="n"/>
      <c r="D23" s="69" t="n"/>
      <c r="E23" s="69" t="n"/>
      <c r="F23" s="67">
        <f>IF($E23="","",$E23*C23)</f>
        <v/>
      </c>
      <c r="G23" s="70">
        <f>IF($E23="","",$E23*D23)</f>
        <v/>
      </c>
    </row>
    <row r="24" hidden="1" ht="13.15" customHeight="1">
      <c r="A24" s="68" t="n"/>
      <c r="B24" s="123" t="n"/>
      <c r="C24" s="66" t="n"/>
      <c r="D24" s="69" t="n"/>
      <c r="E24" s="69" t="n"/>
      <c r="F24" s="67">
        <f>IF($E24="","",$E24*C24)</f>
        <v/>
      </c>
      <c r="G24" s="70">
        <f>IF($E24="","",$E24*D24)</f>
        <v/>
      </c>
    </row>
    <row r="25" hidden="1" ht="13.15" customHeight="1">
      <c r="A25" s="68" t="n"/>
      <c r="B25" s="123" t="n"/>
      <c r="C25" s="66" t="n"/>
      <c r="D25" s="66" t="n"/>
      <c r="E25" s="66" t="n"/>
      <c r="F25" s="67">
        <f>IF($E25="","",$E25*C25)</f>
        <v/>
      </c>
      <c r="G25" s="67">
        <f>IF($E25="","",$E25*D25)</f>
        <v/>
      </c>
    </row>
    <row r="26" hidden="1" ht="13.15" customHeight="1">
      <c r="A26" s="68" t="n"/>
      <c r="B26" s="123" t="n"/>
      <c r="C26" s="66" t="n"/>
      <c r="D26" s="69" t="n"/>
      <c r="E26" s="69" t="n"/>
      <c r="F26" s="67">
        <f>IF($E26="","",$E26*C26)</f>
        <v/>
      </c>
      <c r="G26" s="70">
        <f>IF($E26="","",$E26*D26)</f>
        <v/>
      </c>
    </row>
    <row r="27" hidden="1" ht="13.15" customHeight="1">
      <c r="A27" s="68" t="n"/>
      <c r="B27" s="123" t="n"/>
      <c r="C27" s="66" t="n"/>
      <c r="D27" s="66" t="n"/>
      <c r="E27" s="66" t="n"/>
      <c r="F27" s="67">
        <f>IF($E27="","",$E27*C27)</f>
        <v/>
      </c>
      <c r="G27" s="67">
        <f>IF($E27="","",$E27*D27)</f>
        <v/>
      </c>
    </row>
    <row r="28" hidden="1" ht="13.15" customHeight="1">
      <c r="A28" s="68" t="n"/>
      <c r="B28" s="123" t="n"/>
      <c r="C28" s="66" t="n"/>
      <c r="D28" s="69" t="n"/>
      <c r="E28" s="69" t="n"/>
      <c r="F28" s="67">
        <f>IF($E28="","",$E28*C28)</f>
        <v/>
      </c>
      <c r="G28" s="70">
        <f>IF($E28="","",$E28*D28)</f>
        <v/>
      </c>
    </row>
    <row r="29" ht="13.15" customHeight="1">
      <c r="A29" s="68" t="n"/>
      <c r="B29" s="123" t="n"/>
      <c r="C29" s="66" t="n"/>
      <c r="D29" s="69" t="n"/>
      <c r="E29" s="69" t="n"/>
      <c r="F29" s="67">
        <f>IF($E29="","",$E29*C29)</f>
        <v/>
      </c>
      <c r="G29" s="70">
        <f>IF($E29="","",$E29*D29)</f>
        <v/>
      </c>
    </row>
    <row r="30" hidden="1" ht="13.15" customHeight="1">
      <c r="A30" s="68" t="n"/>
      <c r="B30" s="123" t="n"/>
      <c r="C30" s="66" t="n"/>
      <c r="D30" s="66" t="n"/>
      <c r="E30" s="66" t="n"/>
      <c r="F30" s="67">
        <f>IF($E30="","",$E30*C30)</f>
        <v/>
      </c>
      <c r="G30" s="67">
        <f>IF($E30="","",$E30*D30)</f>
        <v/>
      </c>
    </row>
    <row r="31" hidden="1" ht="13.15" customHeight="1">
      <c r="A31" s="68" t="n"/>
      <c r="B31" s="123" t="n"/>
      <c r="C31" s="66" t="n"/>
      <c r="D31" s="69" t="n"/>
      <c r="E31" s="69" t="n"/>
      <c r="F31" s="67">
        <f>IF($E31="","",$E31*C31)</f>
        <v/>
      </c>
      <c r="G31" s="70">
        <f>IF($E31="","",$E31*D31)</f>
        <v/>
      </c>
    </row>
    <row r="32" hidden="1" ht="13.15" customHeight="1">
      <c r="A32" s="68" t="n"/>
      <c r="B32" s="123" t="n"/>
      <c r="C32" s="66" t="n"/>
      <c r="D32" s="69" t="n"/>
      <c r="E32" s="69" t="n"/>
      <c r="F32" s="67">
        <f>IF($E32="","",$E32*C32)</f>
        <v/>
      </c>
      <c r="G32" s="70">
        <f>IF($E32="","",$E32*D32)</f>
        <v/>
      </c>
    </row>
    <row r="33" hidden="1" ht="13.15" customHeight="1">
      <c r="A33" s="68" t="n"/>
      <c r="B33" s="123" t="n"/>
      <c r="C33" s="66" t="n"/>
      <c r="D33" s="69" t="n"/>
      <c r="E33" s="69" t="n"/>
      <c r="F33" s="67">
        <f>IF($E33="","",$E33*C33)</f>
        <v/>
      </c>
      <c r="G33" s="70">
        <f>IF($E33="","",$E33*D33)</f>
        <v/>
      </c>
    </row>
    <row r="34" ht="13.15" customHeight="1">
      <c r="A34" s="68" t="n"/>
      <c r="B34" s="123" t="n"/>
      <c r="C34" s="66" t="n"/>
      <c r="D34" s="69" t="n"/>
      <c r="E34" s="69" t="n"/>
      <c r="F34" s="67">
        <f>IF($E34="","",$E34*C34)</f>
        <v/>
      </c>
      <c r="G34" s="70">
        <f>IF($E34="","",$E34*D34)</f>
        <v/>
      </c>
    </row>
    <row r="35" hidden="1" ht="13.15" customHeight="1">
      <c r="A35" s="68" t="n"/>
      <c r="B35" s="123" t="n"/>
      <c r="C35" s="66" t="n"/>
      <c r="D35" s="69" t="n"/>
      <c r="E35" s="69" t="n"/>
      <c r="F35" s="67">
        <f>IF($E35="","",$E35*C35)</f>
        <v/>
      </c>
      <c r="G35" s="70">
        <f>IF($E35="","",$E35*D35)</f>
        <v/>
      </c>
    </row>
    <row r="36" hidden="1" ht="13.15" customHeight="1">
      <c r="A36" s="68" t="n"/>
      <c r="B36" s="123" t="n"/>
      <c r="C36" s="66" t="n"/>
      <c r="D36" s="69" t="n"/>
      <c r="E36" s="69" t="n"/>
      <c r="F36" s="67">
        <f>IF($E36="","",$E36*C36)</f>
        <v/>
      </c>
      <c r="G36" s="70">
        <f>IF($E36="","",$E36*D36)</f>
        <v/>
      </c>
    </row>
    <row r="37" ht="13.15" customHeight="1">
      <c r="A37" s="68" t="n"/>
      <c r="B37" s="123" t="n"/>
      <c r="C37" s="66" t="n"/>
      <c r="D37" s="69" t="n"/>
      <c r="E37" s="69" t="n"/>
      <c r="F37" s="67">
        <f>IF($E37="","",$E37*C37)</f>
        <v/>
      </c>
      <c r="G37" s="70">
        <f>IF($E37="","",$E37*D37)</f>
        <v/>
      </c>
    </row>
    <row r="38" hidden="1" ht="13.15" customHeight="1">
      <c r="A38" s="68" t="n"/>
      <c r="B38" s="123" t="n"/>
      <c r="C38" s="66" t="n"/>
      <c r="D38" s="69" t="n"/>
      <c r="E38" s="69" t="n"/>
      <c r="F38" s="67">
        <f>IF($E38="","",$E38*C38)</f>
        <v/>
      </c>
      <c r="G38" s="70">
        <f>IF($E38="","",$E38*D38)</f>
        <v/>
      </c>
    </row>
    <row r="39" hidden="1" ht="13.15" customHeight="1">
      <c r="A39" s="68" t="n"/>
      <c r="B39" s="123" t="n"/>
      <c r="C39" s="66" t="n"/>
      <c r="D39" s="69" t="n"/>
      <c r="E39" s="69" t="n"/>
      <c r="F39" s="67">
        <f>IF($E39="","",$E39*C39)</f>
        <v/>
      </c>
      <c r="G39" s="70">
        <f>IF($E39="","",$E39*D39)</f>
        <v/>
      </c>
    </row>
    <row r="40" hidden="1" ht="13.15" customHeight="1">
      <c r="A40" s="68" t="n"/>
      <c r="B40" s="123" t="n"/>
      <c r="C40" s="66" t="n"/>
      <c r="D40" s="69" t="n"/>
      <c r="E40" s="69" t="n"/>
      <c r="F40" s="67">
        <f>IF($E40="","",$E40*C40)</f>
        <v/>
      </c>
      <c r="G40" s="70">
        <f>IF($E40="","",$E40*D40)</f>
        <v/>
      </c>
    </row>
    <row r="41" hidden="1" ht="13.15" customHeight="1">
      <c r="A41" s="62" t="n"/>
      <c r="B41" s="123" t="n"/>
      <c r="C41" s="66" t="n"/>
      <c r="D41" s="66" t="n"/>
      <c r="E41" s="66" t="n"/>
      <c r="F41" s="67">
        <f>IF($E41="","",$E41*C41)</f>
        <v/>
      </c>
      <c r="G41" s="67">
        <f>IF($E41="","",$E41*D41)</f>
        <v/>
      </c>
    </row>
    <row r="42" hidden="1" ht="13.15" customHeight="1">
      <c r="A42" s="68" t="n"/>
      <c r="B42" s="123" t="n"/>
      <c r="C42" s="66" t="n"/>
      <c r="D42" s="69" t="n"/>
      <c r="E42" s="69" t="n"/>
      <c r="F42" s="67">
        <f>IF($E42="","",$E42*C42)</f>
        <v/>
      </c>
      <c r="G42" s="70">
        <f>IF($E42="","",$E42*D42)</f>
        <v/>
      </c>
    </row>
    <row r="43" hidden="1" ht="13.15" customHeight="1">
      <c r="A43" s="68" t="n"/>
      <c r="B43" s="123" t="n"/>
      <c r="C43" s="66" t="n"/>
      <c r="D43" s="69" t="n"/>
      <c r="E43" s="69" t="n"/>
      <c r="F43" s="67">
        <f>IF($E43="","",$E43*C43)</f>
        <v/>
      </c>
      <c r="G43" s="70">
        <f>IF($E43="","",$E43*D43)</f>
        <v/>
      </c>
    </row>
    <row r="44" ht="13.15" customHeight="1">
      <c r="A44" s="68" t="n"/>
      <c r="B44" s="123" t="n"/>
      <c r="C44" s="66" t="n"/>
      <c r="D44" s="69" t="n"/>
      <c r="E44" s="69" t="n"/>
      <c r="F44" s="67">
        <f>IF($E44="","",$E44*C44)</f>
        <v/>
      </c>
      <c r="G44" s="70">
        <f>IF($E44="","",$E44*D44)</f>
        <v/>
      </c>
    </row>
    <row r="45" ht="13.15" customHeight="1">
      <c r="A45" s="68" t="n"/>
      <c r="B45" s="123" t="n"/>
      <c r="C45" s="66" t="n"/>
      <c r="D45" s="69" t="n"/>
      <c r="E45" s="69" t="n"/>
      <c r="F45" s="67">
        <f>IF($E45="","",$E45*C45)</f>
        <v/>
      </c>
      <c r="G45" s="70">
        <f>IF($E45="","",$E45*D45)</f>
        <v/>
      </c>
    </row>
    <row r="46" hidden="1" ht="13.15" customHeight="1">
      <c r="A46" s="68" t="n"/>
      <c r="B46" s="123" t="n"/>
      <c r="C46" s="66" t="n"/>
      <c r="D46" s="69" t="n"/>
      <c r="E46" s="69" t="n"/>
      <c r="F46" s="67">
        <f>IF($E46="","",$E46*C46)</f>
        <v/>
      </c>
      <c r="G46" s="70">
        <f>IF($E46="","",$E46*D46)</f>
        <v/>
      </c>
    </row>
    <row r="47" hidden="1" ht="13.15" customHeight="1">
      <c r="A47" s="62" t="n"/>
      <c r="B47" s="123" t="n"/>
      <c r="C47" s="66" t="n"/>
      <c r="D47" s="66" t="n"/>
      <c r="E47" s="66" t="n"/>
      <c r="F47" s="67">
        <f>IF($E47="","",$E47*C47)</f>
        <v/>
      </c>
      <c r="G47" s="67">
        <f>IF($E47="","",$E47*D47)</f>
        <v/>
      </c>
    </row>
    <row r="48" hidden="1" ht="13.15" customHeight="1">
      <c r="A48" s="68" t="n"/>
      <c r="B48" s="123" t="n"/>
      <c r="C48" s="66" t="n"/>
      <c r="D48" s="69" t="n"/>
      <c r="E48" s="69" t="n"/>
      <c r="F48" s="67">
        <f>IF($E48="","",$E48*C48)</f>
        <v/>
      </c>
      <c r="G48" s="70">
        <f>IF($E48="","",$E48*D48)</f>
        <v/>
      </c>
    </row>
    <row r="49" ht="13.15" customHeight="1">
      <c r="A49" s="68" t="n"/>
      <c r="B49" s="123" t="n"/>
      <c r="C49" s="66" t="n"/>
      <c r="D49" s="69" t="n"/>
      <c r="E49" s="69" t="n"/>
      <c r="F49" s="67">
        <f>IF($E49="","",$E49*C49)</f>
        <v/>
      </c>
      <c r="G49" s="70">
        <f>IF($E49="","",$E49*D49)</f>
        <v/>
      </c>
    </row>
    <row r="50" hidden="1" ht="12.75" customHeight="1" thickBot="1">
      <c r="A50" s="68" t="n"/>
      <c r="B50" s="123" t="n"/>
      <c r="C50" s="66" t="n"/>
      <c r="D50" s="69" t="n"/>
      <c r="E50" s="69" t="n"/>
      <c r="F50" s="67">
        <f>IF($E50="","",$E50*C50)</f>
        <v/>
      </c>
      <c r="G50" s="70">
        <f>IF($E50="","",$E50*D50)</f>
        <v/>
      </c>
    </row>
    <row r="51" hidden="1" ht="13.15" customHeight="1">
      <c r="A51" s="62" t="n"/>
      <c r="B51" s="123" t="n"/>
      <c r="C51" s="66" t="n"/>
      <c r="D51" s="66" t="n"/>
      <c r="E51" s="66" t="n"/>
      <c r="F51" s="67">
        <f>IF($E51="","",$E51*C51)</f>
        <v/>
      </c>
      <c r="G51" s="67">
        <f>IF($E51="","",$E51*D51)</f>
        <v/>
      </c>
    </row>
    <row r="52" ht="13.15" customHeight="1">
      <c r="A52" s="68" t="n"/>
      <c r="B52" s="123" t="n"/>
      <c r="C52" s="66" t="n"/>
      <c r="D52" s="69" t="n"/>
      <c r="E52" s="69" t="n"/>
      <c r="F52" s="67">
        <f>IF($E52="","",$E52*C52)</f>
        <v/>
      </c>
      <c r="G52" s="70">
        <f>IF($E52="","",$E52*D52)</f>
        <v/>
      </c>
    </row>
    <row r="53" hidden="1" ht="13.15" customHeight="1" thickBot="1">
      <c r="A53" s="68" t="n"/>
      <c r="B53" s="123" t="n"/>
      <c r="C53" s="66" t="n"/>
      <c r="D53" s="69" t="n"/>
      <c r="E53" s="69" t="n"/>
      <c r="F53" s="67">
        <f>IF($E53="","",$E53*C53)</f>
        <v/>
      </c>
      <c r="G53" s="70">
        <f>IF($E53="","",$E53*D53)</f>
        <v/>
      </c>
    </row>
    <row r="54" hidden="1" ht="12.75" customHeight="1">
      <c r="A54" s="68" t="n"/>
      <c r="B54" s="123" t="n"/>
      <c r="C54" s="66" t="n"/>
      <c r="D54" s="69" t="n"/>
      <c r="E54" s="69" t="n"/>
      <c r="F54" s="67">
        <f>IF($E54="","",$E54*C54)</f>
        <v/>
      </c>
      <c r="G54" s="70">
        <f>IF($E54="","",$E54*D54)</f>
        <v/>
      </c>
    </row>
    <row r="55" hidden="1" ht="13.15" customHeight="1" thickBot="1">
      <c r="A55" s="62" t="n"/>
      <c r="B55" s="123" t="n"/>
      <c r="C55" s="66" t="n"/>
      <c r="D55" s="66" t="n"/>
      <c r="E55" s="66" t="n"/>
      <c r="F55" s="67">
        <f>IF($E55="","",$E55*C55)</f>
        <v/>
      </c>
      <c r="G55" s="67">
        <f>IF($E55="","",$E55*D55)</f>
        <v/>
      </c>
    </row>
    <row r="56" hidden="1" ht="15.6" customHeight="1">
      <c r="A56" s="68" t="n"/>
      <c r="B56" s="123" t="n"/>
      <c r="C56" s="66" t="n"/>
      <c r="D56" s="69" t="n"/>
      <c r="E56" s="69" t="n"/>
      <c r="F56" s="67">
        <f>IF($E56="","",$E56*C56)</f>
        <v/>
      </c>
      <c r="G56" s="70">
        <f>IF($E56="","",$E56*D56)</f>
        <v/>
      </c>
    </row>
    <row r="57" hidden="1" ht="15.6" customHeight="1" thickBot="1">
      <c r="A57" s="68" t="n"/>
      <c r="B57" s="123" t="n"/>
      <c r="C57" s="66" t="n"/>
      <c r="D57" s="69" t="n"/>
      <c r="E57" s="69" t="n"/>
      <c r="F57" s="67">
        <f>IF($E57="","",$E57*C57)</f>
        <v/>
      </c>
      <c r="G57" s="70">
        <f>IF($E57="","",$E57*D57)</f>
        <v/>
      </c>
    </row>
    <row r="58" ht="15.6" customHeight="1">
      <c r="A58" s="68" t="n"/>
      <c r="B58" s="123" t="n"/>
      <c r="C58" s="66" t="n"/>
      <c r="D58" s="69" t="n"/>
      <c r="E58" s="69" t="n"/>
      <c r="F58" s="67">
        <f>IF($E58="","",$E58*C58)</f>
        <v/>
      </c>
      <c r="G58" s="70">
        <f>IF($E58="","",$E58*D58)</f>
        <v/>
      </c>
    </row>
    <row r="59" hidden="1" ht="15.6" customHeight="1" thickBot="1">
      <c r="A59" s="68" t="n"/>
      <c r="B59" s="123" t="n"/>
      <c r="C59" s="66" t="n"/>
      <c r="D59" s="69" t="n"/>
      <c r="E59" s="69" t="n"/>
      <c r="F59" s="67">
        <f>IF($E59="","",$E59*C59)</f>
        <v/>
      </c>
      <c r="G59" s="70">
        <f>IF($E59="","",$E59*D59)</f>
        <v/>
      </c>
    </row>
    <row r="60" hidden="1">
      <c r="A60" s="68" t="n"/>
      <c r="B60" s="123" t="n"/>
      <c r="C60" s="66" t="n"/>
      <c r="D60" s="69" t="n"/>
      <c r="E60" s="69" t="n"/>
      <c r="F60" s="67">
        <f>IF($E60="","",$E60*C60)</f>
        <v/>
      </c>
      <c r="G60" s="70">
        <f>IF($E60="","",$E60*D60)</f>
        <v/>
      </c>
    </row>
    <row r="61" ht="14.25" customHeight="1" thickBot="1">
      <c r="A61" s="68" t="n"/>
      <c r="B61" s="123" t="n"/>
      <c r="C61" s="66" t="n"/>
      <c r="D61" s="69" t="n"/>
      <c r="E61" s="69" t="n"/>
      <c r="F61" s="67">
        <f>IF($E61="","",$E61*C61)</f>
        <v/>
      </c>
      <c r="G61" s="70">
        <f>IF($E61="","",$E61*D61)</f>
        <v/>
      </c>
    </row>
    <row r="62" hidden="1" ht="14.25" customHeight="1" thickBot="1">
      <c r="A62" s="68" t="n"/>
      <c r="B62" s="123" t="n"/>
      <c r="C62" s="66" t="n"/>
      <c r="D62" s="69" t="n"/>
      <c r="E62" s="69" t="n"/>
      <c r="F62" s="67">
        <f>IF($E62="","",$E62*C62)</f>
        <v/>
      </c>
      <c r="G62" s="70">
        <f>IF($E62="","",$E62*D62)</f>
        <v/>
      </c>
    </row>
    <row r="63" hidden="1" ht="14.25" customHeight="1" thickBot="1">
      <c r="A63" s="68" t="n"/>
      <c r="B63" s="123" t="n"/>
      <c r="C63" s="66" t="n"/>
      <c r="D63" s="69" t="n"/>
      <c r="E63" s="69" t="n"/>
      <c r="F63" s="67">
        <f>IF($E63="","",$E63*C63)</f>
        <v/>
      </c>
      <c r="G63" s="70">
        <f>IF($E63="","",$E63*D63)</f>
        <v/>
      </c>
    </row>
    <row r="64" hidden="1" ht="12.75" customHeight="1" thickBot="1">
      <c r="A64" s="68" t="n"/>
      <c r="B64" s="123" t="n"/>
      <c r="C64" s="66" t="n"/>
      <c r="D64" s="69" t="n"/>
      <c r="E64" s="69" t="n"/>
      <c r="F64" s="67">
        <f>IF($E64="","",$E64*C64)</f>
        <v/>
      </c>
      <c r="G64" s="70">
        <f>IF($E64="","",$E64*D64)</f>
        <v/>
      </c>
    </row>
    <row r="65" hidden="1" ht="19.5" customHeight="1" thickBot="1">
      <c r="A65" s="68" t="n"/>
      <c r="B65" s="123" t="n"/>
      <c r="C65" s="66" t="n"/>
      <c r="D65" s="69" t="n"/>
      <c r="E65" s="69" t="n"/>
      <c r="F65" s="67">
        <f>IF($E65="","",$E65*C65)</f>
        <v/>
      </c>
      <c r="G65" s="70">
        <f>IF($E65="","",$E65*D65)</f>
        <v/>
      </c>
    </row>
    <row r="66" hidden="1" ht="19.5" customHeight="1" thickBot="1">
      <c r="A66" s="68" t="n"/>
      <c r="B66" s="123" t="n"/>
      <c r="C66" s="66" t="n"/>
      <c r="D66" s="69" t="n"/>
      <c r="E66" s="69" t="n"/>
      <c r="F66" s="67">
        <f>IF($E66="","",$E66*C66)</f>
        <v/>
      </c>
      <c r="G66" s="70">
        <f>IF($E66="","",$E66*D66)</f>
        <v/>
      </c>
    </row>
    <row r="67" hidden="1" ht="19.5" customHeight="1" thickBot="1">
      <c r="A67" s="68" t="n"/>
      <c r="B67" s="123" t="n"/>
      <c r="C67" s="66" t="n"/>
      <c r="D67" s="69" t="n"/>
      <c r="E67" s="69" t="n"/>
      <c r="F67" s="67">
        <f>IF($E67="","",$E67*C67)</f>
        <v/>
      </c>
      <c r="G67" s="70">
        <f>IF($E67="","",$E67*D67)</f>
        <v/>
      </c>
    </row>
    <row r="68" hidden="1" ht="19.5" customHeight="1" thickBot="1">
      <c r="A68" s="68" t="n"/>
      <c r="B68" s="123" t="n"/>
      <c r="C68" s="66" t="n"/>
      <c r="D68" s="69" t="n"/>
      <c r="E68" s="69" t="n"/>
      <c r="F68" s="67">
        <f>IF($E68="","",$E68*C68)</f>
        <v/>
      </c>
      <c r="G68" s="70">
        <f>IF($E68="","",$E68*D68)</f>
        <v/>
      </c>
    </row>
    <row r="69" hidden="1" ht="12.75" customHeight="1">
      <c r="A69" s="68" t="n"/>
      <c r="B69" s="123" t="n"/>
      <c r="C69" s="66" t="n"/>
      <c r="D69" s="69" t="n"/>
      <c r="E69" s="69" t="n"/>
      <c r="F69" s="67">
        <f>IF($E69="","",$E69*C69)</f>
        <v/>
      </c>
      <c r="G69" s="70">
        <f>IF($E69="","",$E69*D69)</f>
        <v/>
      </c>
    </row>
    <row r="70" hidden="1" ht="19.5" customHeight="1" thickBot="1">
      <c r="A70" s="71" t="n"/>
      <c r="B70" s="123" t="n"/>
      <c r="C70" s="66" t="n"/>
      <c r="D70" s="69" t="n"/>
      <c r="E70" s="69" t="n"/>
      <c r="F70" s="67">
        <f>IF($E70="","",$E70*C70)</f>
        <v/>
      </c>
      <c r="G70" s="70">
        <f>IF($E70="","",$E70*D70)</f>
        <v/>
      </c>
    </row>
    <row r="71" ht="20.25" customHeight="1" thickBot="1" thickTop="1">
      <c r="A71" s="72" t="n"/>
      <c r="B71" s="73" t="n"/>
      <c r="C71" s="73" t="n"/>
      <c r="D71" s="74" t="n"/>
      <c r="E71" s="74">
        <f>IF(N(D71)&lt;&gt;0,1,"")</f>
        <v/>
      </c>
      <c r="F71" s="74" t="n"/>
      <c r="G71" s="75">
        <f>IF(N(D71)&lt;&gt;0,E71*D71,"")</f>
        <v/>
      </c>
    </row>
    <row r="72" ht="16.5" customFormat="1" customHeight="1" s="39" thickTop="1">
      <c r="A72" s="86" t="n"/>
      <c r="B72" s="88" t="inlineStr">
        <is>
          <t>合計(税込み)</t>
        </is>
      </c>
      <c r="C72" s="60" t="n"/>
      <c r="D72" s="124" t="inlineStr">
        <is>
          <t>8％対象</t>
        </is>
      </c>
      <c r="E72" s="125" t="n"/>
      <c r="F72" s="41">
        <f>SUM(F14:F70)</f>
        <v/>
      </c>
      <c r="G72" s="41">
        <f>SUM(G14:G70)</f>
        <v/>
      </c>
    </row>
    <row r="73" ht="16.5" customFormat="1" customHeight="1" s="39">
      <c r="A73" s="122" t="n"/>
      <c r="B73" s="122" t="n"/>
      <c r="C73" s="61" t="n"/>
      <c r="D73" s="126" t="inlineStr">
        <is>
          <t>10％対象</t>
        </is>
      </c>
      <c r="E73" s="127" t="n"/>
      <c r="F73" s="38" t="n"/>
      <c r="G73" s="38">
        <f>G71</f>
        <v/>
      </c>
    </row>
    <row r="74" ht="14.25" customHeight="1">
      <c r="B74" s="40" t="inlineStr">
        <is>
          <t>* 印は軽減税率8％対象商品となります。</t>
        </is>
      </c>
      <c r="C74" s="40" t="n"/>
    </row>
  </sheetData>
  <sheetProtection selectLockedCells="1" selectUnlockedCells="1" sheet="1" objects="0" insertRows="1" insertHyperlinks="1" autoFilter="0" scenarios="0" formatColumns="1" deleteColumns="1" insertColumns="1" pivotTables="1" deleteRows="1" formatCells="1" formatRows="1" sort="1"/>
  <autoFilter ref="A13:G74">
    <filterColumn colId="6" hiddenButton="0" showButton="1">
      <filters blank="1">
        <filter val="1,040"/>
        <filter val="1,345"/>
        <filter val="1,640"/>
        <filter val="17,148"/>
        <filter val="2,240"/>
        <filter val="243"/>
        <filter val="4,140"/>
        <filter val="520"/>
        <filter val="550"/>
        <filter val="670"/>
        <filter val="864"/>
        <filter val="896"/>
        <filter val="897"/>
        <filter val="930"/>
        <filter val="960"/>
      </filters>
    </filterColumn>
  </autoFilter>
  <mergeCells count="17">
    <mergeCell ref="C2:E2"/>
    <mergeCell ref="C12:D12"/>
    <mergeCell ref="F11:G11"/>
    <mergeCell ref="C11:E11"/>
    <mergeCell ref="F12:G12"/>
    <mergeCell ref="B72:B73"/>
    <mergeCell ref="D72:E72"/>
    <mergeCell ref="A12:A13"/>
    <mergeCell ref="B12:B13"/>
    <mergeCell ref="E12:E13"/>
    <mergeCell ref="D73:E73"/>
    <mergeCell ref="A72:A73"/>
    <mergeCell ref="C8:E8"/>
    <mergeCell ref="D5:G5"/>
    <mergeCell ref="E7:G7"/>
    <mergeCell ref="E6:G6"/>
    <mergeCell ref="D4:G4"/>
  </mergeCells>
  <pageMargins left="0.3149606299212598" right="0.1181102362204725" top="0.3543307086614174" bottom="0.1574803149606299" header="0.3149606299212598" footer="0.3149606299212598"/>
  <pageSetup orientation="portrait" paperSize="11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yaoyanomaruka</dc:creator>
  <dcterms:created xsi:type="dcterms:W3CDTF">2015-06-05T18:19:34Z</dcterms:created>
  <dcterms:modified xsi:type="dcterms:W3CDTF">2026-08-03T08:18:28Z</dcterms:modified>
  <cp:lastModifiedBy>芳郎 我妻</cp:lastModifiedBy>
  <cp:lastPrinted>2026-07-30T02:54:03Z</cp:lastPrinted>
</cp:coreProperties>
</file>