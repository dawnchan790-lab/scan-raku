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2620" windowHeight="15075" tabRatio="600" firstSheet="0" autoFilterDateGrouping="1"/>
  </bookViews>
  <sheets>
    <sheet name="請求書" sheetId="1" state="visible" r:id="rId1"/>
  </sheets>
  <definedNames>
    <definedName name="_xlnm.Print_Area" localSheetId="0">'請求書'!$A$1:$T$55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¥&quot;#,##0;[Red]&quot;¥&quot;\-#,##0"/>
    <numFmt numFmtId="165" formatCode="&quot;¥&quot;#,##0.0;[Red]&quot;¥&quot;\-#,##0.0"/>
    <numFmt numFmtId="166" formatCode="&quot;〒&quot;000\-0000"/>
    <numFmt numFmtId="167" formatCode="\T###0"/>
    <numFmt numFmtId="168" formatCode="0_);[Red]\(0\)"/>
  </numFmts>
  <fonts count="13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2"/>
      <color theme="1"/>
      <sz val="14"/>
    </font>
    <font>
      <name val="ＭＳ Ｐゴシック"/>
      <charset val="128"/>
      <family val="2"/>
      <color theme="1"/>
      <sz val="18"/>
    </font>
    <font>
      <name val="ＭＳ Ｐゴシック"/>
      <charset val="128"/>
      <family val="2"/>
      <color theme="1"/>
      <sz val="26"/>
    </font>
    <font>
      <name val="ＭＳ Ｐゴシック"/>
      <charset val="128"/>
      <family val="2"/>
      <color theme="1"/>
      <sz val="16"/>
    </font>
    <font>
      <name val="ＭＳ Ｐゴシック"/>
      <charset val="128"/>
      <family val="2"/>
      <color theme="1"/>
      <sz val="32"/>
    </font>
    <font>
      <name val="ＭＳ Ｐゴシック"/>
      <charset val="128"/>
      <family val="2"/>
      <color theme="1"/>
      <sz val="22"/>
    </font>
    <font>
      <name val="ＭＳ Ｐゴシック"/>
      <charset val="128"/>
      <family val="2"/>
      <color theme="0"/>
      <sz val="36"/>
    </font>
    <font>
      <name val="ＭＳ Ｐゴシック"/>
      <charset val="128"/>
      <family val="2"/>
      <color theme="0"/>
      <sz val="16"/>
    </font>
    <font>
      <name val="ＭＳ Ｐゴシック"/>
      <charset val="128"/>
      <family val="3"/>
      <color theme="0"/>
      <sz val="16"/>
    </font>
    <font>
      <name val="ＭＳ Ｐゴシック"/>
      <charset val="128"/>
      <family val="3"/>
      <color theme="0"/>
      <sz val="14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theme="1"/>
      </right>
      <top style="thin">
        <color indexed="64"/>
      </top>
      <bottom style="thin">
        <color indexed="64"/>
      </bottom>
      <diagonal/>
    </border>
    <border>
      <left style="dotted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theme="1"/>
      </right>
      <top style="thin">
        <color indexed="64"/>
      </top>
      <bottom style="thin">
        <color indexed="64"/>
      </bottom>
      <diagonal/>
    </border>
    <border>
      <left/>
      <right style="dotted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3">
    <xf numFmtId="0" fontId="2" fillId="0" borderId="0" applyAlignment="1">
      <alignment vertical="center"/>
    </xf>
    <xf numFmtId="6" fontId="2" fillId="0" borderId="0" applyAlignment="1">
      <alignment vertical="center"/>
    </xf>
    <xf numFmtId="9" fontId="2" fillId="0" borderId="0" applyAlignment="1">
      <alignment vertical="center"/>
    </xf>
  </cellStyleXfs>
  <cellXfs count="14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3" fillId="2" borderId="0" applyAlignment="1" pivotButton="0" quotePrefix="0" xfId="0">
      <alignment vertical="center"/>
    </xf>
    <xf numFmtId="0" fontId="6" fillId="0" borderId="13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4" fontId="6" fillId="0" borderId="0" applyAlignment="1" applyProtection="1" pivotButton="0" quotePrefix="0" xfId="0">
      <alignment vertical="center"/>
      <protection locked="0" hidden="0"/>
    </xf>
    <xf numFmtId="0" fontId="11" fillId="3" borderId="16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12" fillId="3" borderId="15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9" fontId="6" fillId="0" borderId="1" applyAlignment="1" pivotButton="0" quotePrefix="0" xfId="2">
      <alignment horizontal="center" vertical="center"/>
    </xf>
    <xf numFmtId="165" fontId="3" fillId="2" borderId="0" applyAlignment="1" pivotButton="0" quotePrefix="0" xfId="0">
      <alignment vertical="center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0" fillId="3" borderId="8" applyAlignment="1" applyProtection="1" pivotButton="0" quotePrefix="0" xfId="0">
      <alignment vertical="center"/>
      <protection locked="0" hidden="0"/>
    </xf>
    <xf numFmtId="164" fontId="3" fillId="2" borderId="0" applyAlignment="1" pivotButton="0" quotePrefix="0" xfId="0">
      <alignment vertical="center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pivotButton="0" quotePrefix="0" xfId="0">
      <alignment vertical="center"/>
    </xf>
    <xf numFmtId="164" fontId="6" fillId="0" borderId="8" applyAlignment="1" pivotButton="0" quotePrefix="0" xfId="1">
      <alignment vertical="center"/>
    </xf>
    <xf numFmtId="164" fontId="6" fillId="0" borderId="10" applyAlignment="1" pivotButton="0" quotePrefix="0" xfId="1">
      <alignment vertical="center"/>
    </xf>
    <xf numFmtId="0" fontId="3" fillId="0" borderId="18" applyAlignment="1" applyProtection="1" pivotButton="0" quotePrefix="0" xfId="0">
      <alignment horizontal="center" vertical="top"/>
      <protection locked="0" hidden="0"/>
    </xf>
    <xf numFmtId="0" fontId="3" fillId="0" borderId="3" applyAlignment="1" applyProtection="1" pivotButton="0" quotePrefix="0" xfId="0">
      <alignment horizontal="center" vertical="top"/>
      <protection locked="0" hidden="0"/>
    </xf>
    <xf numFmtId="0" fontId="3" fillId="0" borderId="4" applyAlignment="1" applyProtection="1" pivotButton="0" quotePrefix="0" xfId="0">
      <alignment horizontal="center" vertical="top"/>
      <protection locked="0" hidden="0"/>
    </xf>
    <xf numFmtId="0" fontId="3" fillId="0" borderId="28" applyAlignment="1" applyProtection="1" pivotButton="0" quotePrefix="0" xfId="0">
      <alignment horizontal="center" vertical="top"/>
      <protection locked="0" hidden="0"/>
    </xf>
    <xf numFmtId="0" fontId="3" fillId="0" borderId="0" applyAlignment="1" applyProtection="1" pivotButton="0" quotePrefix="0" xfId="0">
      <alignment horizontal="center" vertical="top"/>
      <protection locked="0" hidden="0"/>
    </xf>
    <xf numFmtId="0" fontId="3" fillId="0" borderId="29" applyAlignment="1" applyProtection="1" pivotButton="0" quotePrefix="0" xfId="0">
      <alignment horizontal="center" vertical="top"/>
      <protection locked="0" hidden="0"/>
    </xf>
    <xf numFmtId="0" fontId="3" fillId="0" borderId="19" applyAlignment="1" applyProtection="1" pivotButton="0" quotePrefix="0" xfId="0">
      <alignment horizontal="center" vertical="top"/>
      <protection locked="0" hidden="0"/>
    </xf>
    <xf numFmtId="0" fontId="3" fillId="0" borderId="6" applyAlignment="1" applyProtection="1" pivotButton="0" quotePrefix="0" xfId="0">
      <alignment horizontal="center" vertical="top"/>
      <protection locked="0" hidden="0"/>
    </xf>
    <xf numFmtId="0" fontId="3" fillId="0" borderId="7" applyAlignment="1" applyProtection="1" pivotButton="0" quotePrefix="0" xfId="0">
      <alignment horizontal="center" vertical="top"/>
      <protection locked="0" hidden="0"/>
    </xf>
    <xf numFmtId="0" fontId="10" fillId="3" borderId="17" applyAlignment="1" applyProtection="1" pivotButton="0" quotePrefix="0" xfId="0">
      <alignment horizontal="left" vertical="center"/>
      <protection locked="0" hidden="0"/>
    </xf>
    <xf numFmtId="0" fontId="10" fillId="3" borderId="9" applyAlignment="1" applyProtection="1" pivotButton="0" quotePrefix="0" xfId="0">
      <alignment horizontal="left" vertical="center"/>
      <protection locked="0" hidden="0"/>
    </xf>
    <xf numFmtId="0" fontId="10" fillId="3" borderId="10" applyAlignment="1" applyProtection="1" pivotButton="0" quotePrefix="0" xfId="0">
      <alignment horizontal="left" vertical="center"/>
      <protection locked="0" hidden="0"/>
    </xf>
    <xf numFmtId="14" fontId="6" fillId="0" borderId="24" applyAlignment="1" applyProtection="1" pivotButton="0" quotePrefix="0" xfId="0">
      <alignment horizontal="center" vertical="center"/>
      <protection locked="0" hidden="0"/>
    </xf>
    <xf numFmtId="14" fontId="6" fillId="0" borderId="25" applyAlignment="1" applyProtection="1" pivotButton="0" quotePrefix="0" xfId="0">
      <alignment horizontal="center" vertical="center"/>
      <protection locked="0" hidden="0"/>
    </xf>
    <xf numFmtId="164" fontId="6" fillId="0" borderId="1" applyAlignment="1" pivotButton="0" quotePrefix="0" xfId="1">
      <alignment horizontal="right" vertical="center"/>
    </xf>
    <xf numFmtId="164" fontId="6" fillId="0" borderId="8" applyAlignment="1" pivotButton="0" quotePrefix="0" xfId="0">
      <alignment vertical="center"/>
    </xf>
    <xf numFmtId="164" fontId="6" fillId="0" borderId="10" applyAlignment="1" pivotButton="0" quotePrefix="0" xfId="0">
      <alignment vertical="center"/>
    </xf>
    <xf numFmtId="0" fontId="10" fillId="3" borderId="16" applyAlignment="1" applyProtection="1" pivotButton="0" quotePrefix="0" xfId="0">
      <alignment horizontal="center" vertical="center"/>
      <protection locked="0" hidden="0"/>
    </xf>
    <xf numFmtId="0" fontId="10" fillId="3" borderId="1" applyAlignment="1" applyProtection="1" pivotButton="0" quotePrefix="0" xfId="0">
      <alignment horizontal="center" vertical="center"/>
      <protection locked="0" hidden="0"/>
    </xf>
    <xf numFmtId="164" fontId="10" fillId="3" borderId="8" applyAlignment="1" applyProtection="1" pivotButton="0" quotePrefix="0" xfId="1">
      <alignment horizontal="center" vertical="center"/>
      <protection locked="0" hidden="0"/>
    </xf>
    <xf numFmtId="164" fontId="10" fillId="3" borderId="10" applyAlignment="1" applyProtection="1" pivotButton="0" quotePrefix="0" xfId="1">
      <alignment horizontal="center" vertical="center"/>
      <protection locked="0" hidden="0"/>
    </xf>
    <xf numFmtId="164" fontId="6" fillId="0" borderId="8" applyAlignment="1" pivotButton="0" quotePrefix="0" xfId="1">
      <alignment horizontal="right" vertical="center"/>
    </xf>
    <xf numFmtId="164" fontId="6" fillId="0" borderId="10" applyAlignment="1" pivotButton="0" quotePrefix="0" xfId="1">
      <alignment horizontal="right" vertical="center"/>
    </xf>
    <xf numFmtId="14" fontId="6" fillId="0" borderId="17" applyAlignment="1" applyProtection="1" pivotButton="0" quotePrefix="0" xfId="0">
      <alignment horizontal="center" vertical="center"/>
      <protection locked="0" hidden="0"/>
    </xf>
    <xf numFmtId="14" fontId="6" fillId="0" borderId="10" applyAlignment="1" applyProtection="1" pivotButton="0" quotePrefix="0" xfId="0">
      <alignment horizontal="center" vertical="center"/>
      <protection locked="0" hidden="0"/>
    </xf>
    <xf numFmtId="14" fontId="6" fillId="0" borderId="18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22" applyAlignment="1" applyProtection="1" pivotButton="0" quotePrefix="0" xfId="0">
      <alignment horizontal="center" vertical="center"/>
      <protection locked="0" hidden="0"/>
    </xf>
    <xf numFmtId="14" fontId="6" fillId="0" borderId="23" applyAlignment="1" applyProtection="1" pivotButton="0" quotePrefix="0" xfId="0">
      <alignment horizontal="center" vertical="center"/>
      <protection locked="0" hidden="0"/>
    </xf>
    <xf numFmtId="14" fontId="6" fillId="0" borderId="26" applyAlignment="1" applyProtection="1" pivotButton="0" quotePrefix="0" xfId="0">
      <alignment horizontal="center" vertical="center"/>
      <protection locked="0" hidden="0"/>
    </xf>
    <xf numFmtId="14" fontId="6" fillId="0" borderId="27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20" applyAlignment="1" applyProtection="1" pivotButton="0" quotePrefix="0" xfId="0">
      <alignment horizontal="center" vertical="center"/>
      <protection locked="0" hidden="0"/>
    </xf>
    <xf numFmtId="0" fontId="11" fillId="3" borderId="2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166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3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left" vertical="center"/>
      <protection locked="0" hidden="0"/>
    </xf>
    <xf numFmtId="0" fontId="11" fillId="3" borderId="16" applyAlignment="1" applyProtection="1" pivotButton="0" quotePrefix="0" xfId="0">
      <alignment horizontal="center" vertical="center"/>
      <protection locked="0" hidden="0"/>
    </xf>
    <xf numFmtId="0" fontId="11" fillId="3" borderId="8" applyAlignment="1" applyProtection="1" pivotButton="0" quotePrefix="0" xfId="0">
      <alignment horizontal="center" vertical="center"/>
      <protection locked="0" hidden="0"/>
    </xf>
    <xf numFmtId="0" fontId="11" fillId="3" borderId="9" applyAlignment="1" applyProtection="1" pivotButton="0" quotePrefix="0" xfId="0">
      <alignment horizontal="center" vertical="center"/>
      <protection locked="0" hidden="0"/>
    </xf>
    <xf numFmtId="0" fontId="11" fillId="3" borderId="14" applyAlignment="1" applyProtection="1" pivotButton="0" quotePrefix="0" xfId="0">
      <alignment horizontal="center" vertical="center"/>
      <protection locked="0" hidden="0"/>
    </xf>
    <xf numFmtId="0" fontId="9" fillId="3" borderId="0" applyAlignment="1" applyProtection="1" pivotButton="0" quotePrefix="0" xfId="0">
      <alignment horizontal="center" vertical="center"/>
      <protection locked="0" hidden="0"/>
    </xf>
    <xf numFmtId="14" fontId="6" fillId="0" borderId="0" applyAlignment="1" applyProtection="1" pivotButton="0" quotePrefix="0" xfId="0">
      <alignment horizontal="left" vertical="center"/>
      <protection locked="0" hidden="0"/>
    </xf>
    <xf numFmtId="167" fontId="6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168" fontId="3" fillId="0" borderId="0" applyAlignment="1" applyProtection="1" pivotButton="0" quotePrefix="0" xfId="0">
      <alignment horizontal="left" vertical="center"/>
      <protection locked="0" hidden="0"/>
    </xf>
    <xf numFmtId="0" fontId="11" fillId="3" borderId="17" applyAlignment="1" applyProtection="1" pivotButton="0" quotePrefix="0" xfId="0">
      <alignment horizontal="center" vertical="center"/>
      <protection locked="0" hidden="0"/>
    </xf>
    <xf numFmtId="0" fontId="11" fillId="3" borderId="10" applyAlignment="1" applyProtection="1" pivotButton="0" quotePrefix="0" xfId="0">
      <alignment horizontal="center" vertical="center"/>
      <protection locked="0" hidden="0"/>
    </xf>
    <xf numFmtId="164" fontId="7" fillId="0" borderId="18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64" fontId="7" fillId="0" borderId="4" applyAlignment="1" pivotButton="0" quotePrefix="0" xfId="0">
      <alignment horizontal="right" vertical="center"/>
    </xf>
    <xf numFmtId="164" fontId="7" fillId="0" borderId="19" applyAlignment="1" pivotButton="0" quotePrefix="0" xfId="0">
      <alignment horizontal="right" vertical="center"/>
    </xf>
    <xf numFmtId="164" fontId="7" fillId="0" borderId="6" applyAlignment="1" pivotButton="0" quotePrefix="0" xfId="0">
      <alignment horizontal="right" vertical="center"/>
    </xf>
    <xf numFmtId="164" fontId="7" fillId="0" borderId="7" applyAlignment="1" pivotButton="0" quotePrefix="0" xfId="0">
      <alignment horizontal="right" vertical="center"/>
    </xf>
    <xf numFmtId="0" fontId="10" fillId="3" borderId="17" applyAlignment="1" applyProtection="1" pivotButton="0" quotePrefix="0" xfId="0">
      <alignment horizontal="left" vertical="top"/>
      <protection locked="0" hidden="0"/>
    </xf>
    <xf numFmtId="0" fontId="10" fillId="3" borderId="9" applyAlignment="1" applyProtection="1" pivotButton="0" quotePrefix="0" xfId="0">
      <alignment horizontal="left" vertical="top"/>
      <protection locked="0" hidden="0"/>
    </xf>
    <xf numFmtId="0" fontId="10" fillId="3" borderId="10" applyAlignment="1" applyProtection="1" pivotButton="0" quotePrefix="0" xfId="0">
      <alignment horizontal="left" vertical="top"/>
      <protection locked="0" hidden="0"/>
    </xf>
    <xf numFmtId="0" fontId="0" fillId="0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 vertical="center"/>
      <protection locked="0" hidden="0"/>
    </xf>
    <xf numFmtId="168" fontId="3" fillId="0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5" fontId="3" fillId="2" borderId="0" applyAlignment="1" pivotButton="0" quotePrefix="0" xfId="0">
      <alignment vertical="center"/>
    </xf>
    <xf numFmtId="164" fontId="7" fillId="0" borderId="16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4" fontId="3" fillId="2" borderId="0" applyAlignment="1" pivotButton="0" quotePrefix="0" xfId="0">
      <alignment vertical="center"/>
    </xf>
    <xf numFmtId="0" fontId="0" fillId="0" borderId="19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33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6" fillId="0" borderId="34" applyAlignment="1" applyProtection="1" pivotButton="0" quotePrefix="0" xfId="0">
      <alignment vertical="center"/>
      <protection locked="0" hidden="0"/>
    </xf>
    <xf numFmtId="0" fontId="0" fillId="0" borderId="7" applyProtection="1" pivotButton="0" quotePrefix="0" xfId="0">
      <protection locked="0" hidden="0"/>
    </xf>
    <xf numFmtId="31" fontId="6" fillId="0" borderId="1" applyAlignment="1" applyProtection="1" pivotButton="0" quotePrefix="0" xfId="0">
      <alignment horizontal="left" vertical="center"/>
      <protection locked="0" hidden="0"/>
    </xf>
    <xf numFmtId="0" fontId="11" fillId="3" borderId="35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14" fontId="6" fillId="0" borderId="20" applyAlignment="1" applyProtection="1" pivotButton="0" quotePrefix="0" xfId="0">
      <alignment horizontal="center" vertical="center"/>
      <protection locked="0" hidden="0"/>
    </xf>
    <xf numFmtId="164" fontId="6" fillId="0" borderId="1" applyAlignment="1" pivotButton="0" quotePrefix="0" xfId="1">
      <alignment horizontal="right" vertical="center"/>
    </xf>
    <xf numFmtId="0" fontId="0" fillId="0" borderId="10" pivotButton="0" quotePrefix="0" xfId="0"/>
    <xf numFmtId="0" fontId="6" fillId="0" borderId="30" applyAlignment="1" applyProtection="1" pivotButton="0" quotePrefix="0" xfId="0">
      <alignment horizontal="left" vertical="center" indent="1"/>
      <protection locked="0" hidden="0"/>
    </xf>
    <xf numFmtId="0" fontId="0" fillId="0" borderId="12" applyProtection="1" pivotButton="0" quotePrefix="0" xfId="0">
      <protection locked="0" hidden="0"/>
    </xf>
    <xf numFmtId="164" fontId="10" fillId="3" borderId="8" applyAlignment="1" applyProtection="1" pivotButton="0" quotePrefix="0" xfId="0">
      <alignment vertical="center"/>
      <protection locked="0" hidden="0"/>
    </xf>
    <xf numFmtId="164" fontId="6" fillId="0" borderId="1" applyAlignment="1" pivotButton="0" quotePrefix="0" xfId="0">
      <alignment vertical="center"/>
    </xf>
    <xf numFmtId="164" fontId="10" fillId="3" borderId="1" applyAlignment="1" applyProtection="1" pivotButton="0" quotePrefix="0" xfId="1">
      <alignment horizontal="center"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0" applyAlignment="1" applyProtection="1" pivotButton="0" quotePrefix="0" xfId="0">
      <alignment vertical="center"/>
      <protection locked="0" hidden="0"/>
    </xf>
    <xf numFmtId="164" fontId="6" fillId="0" borderId="0" applyAlignment="1" applyProtection="1" pivotButton="0" quotePrefix="0" xfId="1">
      <alignment vertical="center"/>
      <protection locked="0" hidden="0"/>
    </xf>
    <xf numFmtId="0" fontId="10" fillId="3" borderId="16" applyAlignment="1" applyProtection="1" pivotButton="0" quotePrefix="0" xfId="0">
      <alignment horizontal="left" vertical="center"/>
      <protection locked="0" hidden="0"/>
    </xf>
    <xf numFmtId="0" fontId="3" fillId="0" borderId="16" applyAlignment="1" applyProtection="1" pivotButton="0" quotePrefix="0" xfId="0">
      <alignment horizontal="center" vertical="top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0" pivotButton="0" quotePrefix="0" xfId="0"/>
  </cellXfs>
  <cellStyles count="3">
    <cellStyle name="標準" xfId="0" builtinId="0"/>
    <cellStyle name="通貨" xfId="1" builtinId="7"/>
    <cellStyle name="パーセント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topLeftCell="A2" zoomScale="70" zoomScaleNormal="70" workbookViewId="0">
      <selection activeCell="F51" sqref="F51"/>
    </sheetView>
  </sheetViews>
  <sheetFormatPr baseColWidth="8" defaultColWidth="0" defaultRowHeight="17.25" customHeight="1" zeroHeight="1"/>
  <cols>
    <col width="2" customWidth="1" style="5" min="1" max="1"/>
    <col width="10.44140625" customWidth="1" style="5" min="2" max="2"/>
    <col width="6" customWidth="1" style="5" min="3" max="3"/>
    <col width="8" customWidth="1" style="5" min="4" max="8"/>
    <col width="7.44140625" customWidth="1" style="5" min="9" max="10"/>
    <col width="9.44140625" customWidth="1" style="5" min="11" max="11"/>
    <col width="8" customWidth="1" style="5" min="12" max="13"/>
    <col width="14.5546875" bestFit="1" customWidth="1" style="5" min="14" max="14"/>
    <col width="8" customWidth="1" style="5" min="15" max="17"/>
    <col hidden="1" width="8" customWidth="1" style="5" min="18" max="19"/>
    <col width="1.88671875" customWidth="1" style="5" min="20" max="20"/>
    <col width="10.6640625" customWidth="1" style="5" min="21" max="22"/>
    <col width="12.21875" bestFit="1" customWidth="1" style="5" min="23" max="23"/>
    <col width="10.6640625" customWidth="1" style="5" min="24" max="31"/>
    <col hidden="1" style="5" min="32" max="32"/>
    <col hidden="1" width="10.6640625" customWidth="1" style="5" min="33" max="16384"/>
  </cols>
  <sheetData>
    <row r="1" hidden="1" customFormat="1" s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53.1" customFormat="1" customHeight="1" s="1">
      <c r="A2" s="8" t="n"/>
      <c r="B2" s="86" t="inlineStr">
        <is>
          <t>請求書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8" t="n"/>
      <c r="S2" s="8" t="n"/>
      <c r="T2" s="8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idden="1" customFormat="1" s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</row>
    <row r="4" ht="30.95" customFormat="1" customHeight="1" s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21" t="inlineStr">
        <is>
          <t>発行日</t>
        </is>
      </c>
      <c r="O4" s="87" t="n"/>
      <c r="P4" s="102" t="n"/>
      <c r="Q4" s="102" t="n"/>
      <c r="R4" s="8" t="n"/>
      <c r="S4" s="8" t="n"/>
      <c r="T4" s="8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30.95" customFormat="1" customHeight="1" s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21" t="inlineStr">
        <is>
          <t>登録番号</t>
        </is>
      </c>
      <c r="O5" s="103" t="n">
        <v>8370001002926</v>
      </c>
      <c r="P5" s="102" t="n"/>
      <c r="Q5" s="102" t="n"/>
      <c r="R5" s="8" t="n"/>
      <c r="S5" s="8" t="n"/>
      <c r="T5" s="8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 ht="30.95" customFormat="1" customHeight="1" s="1">
      <c r="A6" s="8" t="n"/>
      <c r="B6" s="89" t="n"/>
      <c r="C6" s="102" t="n"/>
      <c r="D6" s="102" t="n"/>
      <c r="E6" s="102" t="n"/>
      <c r="F6" s="102" t="n"/>
      <c r="G6" s="102" t="n"/>
      <c r="H6" s="102" t="n"/>
      <c r="I6" s="102" t="n"/>
      <c r="J6" s="18" t="inlineStr">
        <is>
          <t>御中</t>
        </is>
      </c>
      <c r="M6" s="8" t="n"/>
      <c r="N6" s="21" t="inlineStr">
        <is>
          <t>発行番号</t>
        </is>
      </c>
      <c r="O6" s="104" t="n"/>
      <c r="P6" s="102" t="n"/>
      <c r="Q6" s="102" t="n"/>
      <c r="R6" s="8" t="n"/>
      <c r="S6" s="8" t="n"/>
      <c r="T6" s="8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26.1" customFormat="1" customHeight="1" s="1">
      <c r="A7" s="8" t="n"/>
      <c r="B7" s="105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8" t="n"/>
      <c r="L7" s="8" t="n"/>
      <c r="M7" s="8" t="n"/>
      <c r="N7" s="9" t="n"/>
      <c r="O7" s="10" t="n"/>
      <c r="P7" s="10" t="n"/>
      <c r="Q7" s="10" t="n"/>
      <c r="R7" s="8" t="n"/>
      <c r="S7" s="8" t="n"/>
      <c r="T7" s="8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 ht="33.95" customFormat="1" customHeight="1" s="1">
      <c r="A8" s="8" t="n"/>
      <c r="B8" s="73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8" t="n"/>
      <c r="L8" s="8" t="n"/>
      <c r="M8" s="74" t="inlineStr">
        <is>
          <t>株式会社　工藤祐作商店</t>
        </is>
      </c>
      <c r="N8" s="102" t="n"/>
      <c r="O8" s="102" t="n"/>
      <c r="P8" s="102" t="n"/>
      <c r="Q8" s="102" t="n"/>
      <c r="R8" s="8" t="n"/>
      <c r="S8" s="8" t="n"/>
      <c r="T8" s="8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30" customFormat="1" customHeight="1" s="1">
      <c r="A9" s="8" t="n"/>
      <c r="B9" s="75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8" t="n"/>
      <c r="L9" s="8" t="n"/>
      <c r="M9" s="105" t="inlineStr">
        <is>
          <t>〒984-0015</t>
        </is>
      </c>
      <c r="N9" s="102" t="n"/>
      <c r="O9" s="102" t="n"/>
      <c r="P9" s="102" t="n"/>
      <c r="Q9" s="102" t="n"/>
      <c r="R9" s="8" t="n"/>
      <c r="S9" s="8" t="n"/>
      <c r="T9" s="8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 ht="38.1" customFormat="1" customHeight="1" s="1">
      <c r="A10" s="8" t="n"/>
      <c r="B10" s="76" t="inlineStr">
        <is>
          <t>下記の通り、ご請求申し上げます。</t>
        </is>
      </c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2" t="n"/>
      <c r="L10" s="12" t="n"/>
      <c r="M10" s="75" t="inlineStr">
        <is>
          <t>住所：</t>
        </is>
      </c>
      <c r="N10" s="77" t="inlineStr">
        <is>
          <t>宮城県仙台市若林区卸町四丁目3-1</t>
        </is>
      </c>
      <c r="O10" s="102" t="n"/>
      <c r="P10" s="102" t="n"/>
      <c r="Q10" s="102" t="n"/>
      <c r="R10" s="8" t="n"/>
      <c r="S10" s="8" t="n"/>
      <c r="T10" s="8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30" customFormat="1" customHeight="1" s="1">
      <c r="A11" s="8" t="n"/>
      <c r="B11" s="82" t="inlineStr">
        <is>
          <t>ご請求金額（税込）</t>
        </is>
      </c>
      <c r="C11" s="107" t="n"/>
      <c r="D11" s="107" t="n"/>
      <c r="E11" s="107" t="n"/>
      <c r="F11" s="107" t="n"/>
      <c r="G11" s="107" t="n"/>
      <c r="H11" s="107" t="n"/>
      <c r="I11" s="107" t="n"/>
      <c r="J11" s="108" t="n"/>
      <c r="K11" s="8" t="n"/>
      <c r="L11" s="8" t="n"/>
      <c r="M11" s="75" t="inlineStr">
        <is>
          <t>電話：</t>
        </is>
      </c>
      <c r="N11" s="78" t="inlineStr">
        <is>
          <t>022-232-8596</t>
        </is>
      </c>
      <c r="O11" s="102" t="n"/>
      <c r="P11" s="102" t="n"/>
      <c r="Q11" s="102" t="n"/>
      <c r="R11" s="8" t="n"/>
      <c r="S11" s="8" t="n"/>
      <c r="T11" s="8" t="n"/>
      <c r="U11" s="5" t="n"/>
      <c r="V11" s="5" t="n"/>
      <c r="W11" s="109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 ht="30" customFormat="1" customHeight="1" s="1">
      <c r="A12" s="8" t="n"/>
      <c r="B12" s="110">
        <f>O47</f>
        <v/>
      </c>
      <c r="C12" s="111" t="n"/>
      <c r="D12" s="111" t="n"/>
      <c r="E12" s="111" t="n"/>
      <c r="F12" s="111" t="n"/>
      <c r="G12" s="111" t="n"/>
      <c r="H12" s="111" t="n"/>
      <c r="I12" s="111" t="n"/>
      <c r="J12" s="112" t="n"/>
      <c r="K12" s="8" t="n"/>
      <c r="L12" s="8" t="n"/>
      <c r="M12" s="75" t="inlineStr">
        <is>
          <t>FAX：</t>
        </is>
      </c>
      <c r="N12" s="78" t="inlineStr">
        <is>
          <t>022-232-8341</t>
        </is>
      </c>
      <c r="O12" s="102" t="n"/>
      <c r="P12" s="102" t="n"/>
      <c r="Q12" s="102" t="n"/>
      <c r="R12" s="8" t="n"/>
      <c r="S12" s="8" t="n"/>
      <c r="T12" s="8" t="n"/>
      <c r="U12" s="5" t="n"/>
      <c r="V12" s="113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32.1" customFormat="1" customHeight="1" s="1">
      <c r="A13" s="8" t="n"/>
      <c r="B13" s="114" t="n"/>
      <c r="C13" s="115" t="n"/>
      <c r="D13" s="115" t="n"/>
      <c r="E13" s="115" t="n"/>
      <c r="F13" s="115" t="n"/>
      <c r="G13" s="115" t="n"/>
      <c r="H13" s="115" t="n"/>
      <c r="I13" s="115" t="n"/>
      <c r="J13" s="116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 ht="32.1" customFormat="1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 ht="24" customFormat="1" customHeight="1" s="1">
      <c r="A15" s="8" t="n"/>
      <c r="B15" s="82" t="inlineStr">
        <is>
          <t>振込先</t>
        </is>
      </c>
      <c r="C15" s="117" t="inlineStr">
        <is>
          <t xml:space="preserve">七十七銀行　中央市場支店（当座）1000497　</t>
        </is>
      </c>
      <c r="D15" s="118" t="n"/>
      <c r="E15" s="118" t="n"/>
      <c r="F15" s="118" t="n"/>
      <c r="G15" s="118" t="n"/>
      <c r="H15" s="119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 ht="24" customFormat="1" customHeight="1" s="1">
      <c r="A16" s="8" t="n"/>
      <c r="B16" s="120" t="n"/>
      <c r="C16" s="121" t="inlineStr">
        <is>
          <t>カ．クドウユウサクシヨウテン</t>
        </is>
      </c>
      <c r="D16" s="106" t="n"/>
      <c r="E16" s="106" t="n"/>
      <c r="F16" s="106" t="n"/>
      <c r="G16" s="106" t="n"/>
      <c r="H16" s="122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24" customFormat="1" customHeight="1" s="1">
      <c r="A17" s="8" t="n"/>
      <c r="B17" s="82" t="inlineStr">
        <is>
          <t>振込期日</t>
        </is>
      </c>
      <c r="C17" s="123" t="n"/>
      <c r="D17" s="107" t="n"/>
      <c r="E17" s="107" t="n"/>
      <c r="F17" s="107" t="n"/>
      <c r="G17" s="107" t="n"/>
      <c r="H17" s="10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 ht="24" customFormat="1" customHeight="1" s="1">
      <c r="A18" s="8" t="n"/>
      <c r="B18" s="78" t="inlineStr">
        <is>
          <t>振込手数料は御社のご負担にてお願いいたします。</t>
        </is>
      </c>
      <c r="C18" s="78" t="n"/>
      <c r="D18" s="78" t="n"/>
      <c r="E18" s="78" t="n"/>
      <c r="F18" s="78" t="n"/>
      <c r="G18" s="78" t="n"/>
      <c r="H18" s="7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4" customFormat="1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 ht="24" customFormat="1" customHeight="1" s="1">
      <c r="A20" s="8" t="n"/>
      <c r="B20" s="82" t="inlineStr">
        <is>
          <t>販売日</t>
        </is>
      </c>
      <c r="C20" s="108" t="n"/>
      <c r="D20" s="124" t="inlineStr">
        <is>
          <t>品名</t>
        </is>
      </c>
      <c r="E20" s="107" t="n"/>
      <c r="F20" s="107" t="n"/>
      <c r="G20" s="107" t="n"/>
      <c r="H20" s="107" t="n"/>
      <c r="I20" s="107" t="n"/>
      <c r="J20" s="125" t="n"/>
      <c r="K20" s="17" t="inlineStr">
        <is>
          <t>軽減税率</t>
        </is>
      </c>
      <c r="L20" s="63" t="inlineStr">
        <is>
          <t>数量</t>
        </is>
      </c>
      <c r="M20" s="63" t="inlineStr">
        <is>
          <t>単位</t>
        </is>
      </c>
      <c r="N20" s="63" t="inlineStr">
        <is>
          <t>税率</t>
        </is>
      </c>
      <c r="O20" s="63" t="inlineStr">
        <is>
          <t>金額（税込）</t>
        </is>
      </c>
      <c r="P20" s="108" t="n"/>
      <c r="Q20" s="8" t="n"/>
      <c r="R20" s="8" t="n"/>
      <c r="S20" s="8" t="n"/>
      <c r="T20" s="8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4" customFormat="1" customHeight="1" s="1">
      <c r="A21" s="8" t="n"/>
      <c r="B21" s="126" t="n"/>
      <c r="C21" s="119" t="n"/>
      <c r="D21" s="24" t="n"/>
      <c r="E21" s="107" t="n"/>
      <c r="F21" s="107" t="n"/>
      <c r="G21" s="107" t="n"/>
      <c r="H21" s="107" t="n"/>
      <c r="I21" s="107" t="n"/>
      <c r="J21" s="107" t="n"/>
      <c r="K21" s="6" t="n"/>
      <c r="L21" s="3" t="n"/>
      <c r="M21" s="28" t="n"/>
      <c r="N21" s="19">
        <f>IF(ISBLANK(B21),"",IF(K21="","10%","8%"))</f>
        <v/>
      </c>
      <c r="O21" s="127" t="n"/>
      <c r="P21" s="128" t="n"/>
      <c r="Q21" s="8" t="n"/>
      <c r="R21" s="8" t="n"/>
      <c r="S21" s="8" t="n"/>
      <c r="T21" s="8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 ht="24" customFormat="1" customHeight="1" s="1">
      <c r="A22" s="8" t="n"/>
      <c r="B22" s="126" t="n"/>
      <c r="C22" s="119" t="n"/>
      <c r="D22" s="129" t="n"/>
      <c r="E22" s="107" t="n"/>
      <c r="F22" s="107" t="n"/>
      <c r="G22" s="107" t="n"/>
      <c r="H22" s="107" t="n"/>
      <c r="I22" s="107" t="n"/>
      <c r="J22" s="130" t="n"/>
      <c r="K22" s="6" t="n"/>
      <c r="L22" s="3" t="n"/>
      <c r="M22" s="28" t="n"/>
      <c r="N22" s="19">
        <f>IF(ISBLANK(B22),"",IF(K22="","10%","8%"))</f>
        <v/>
      </c>
      <c r="O22" s="127" t="n"/>
      <c r="P22" s="128" t="n"/>
      <c r="Q22" s="8" t="n"/>
      <c r="R22" s="8" t="n"/>
      <c r="S22" s="8" t="n"/>
      <c r="T22" s="8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4" customFormat="1" customHeight="1" s="1">
      <c r="A23" s="8" t="n"/>
      <c r="B23" s="126" t="n"/>
      <c r="C23" s="119" t="n"/>
      <c r="D23" s="129" t="n"/>
      <c r="E23" s="107" t="n"/>
      <c r="F23" s="107" t="n"/>
      <c r="G23" s="107" t="n"/>
      <c r="H23" s="107" t="n"/>
      <c r="I23" s="107" t="n"/>
      <c r="J23" s="130" t="n"/>
      <c r="K23" s="6" t="n"/>
      <c r="L23" s="3" t="n"/>
      <c r="M23" s="28" t="n"/>
      <c r="N23" s="19">
        <f>IF(ISBLANK(B23),"",IF(K23="","10%","8%"))</f>
        <v/>
      </c>
      <c r="O23" s="127" t="n"/>
      <c r="P23" s="128" t="n"/>
      <c r="Q23" s="8" t="n"/>
      <c r="R23" s="8" t="n"/>
      <c r="S23" s="8" t="n"/>
      <c r="T23" s="8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 ht="24" customFormat="1" customHeight="1" s="1">
      <c r="A24" s="8" t="n"/>
      <c r="B24" s="126" t="n"/>
      <c r="C24" s="119" t="n"/>
      <c r="D24" s="129" t="n"/>
      <c r="E24" s="107" t="n"/>
      <c r="F24" s="107" t="n"/>
      <c r="G24" s="107" t="n"/>
      <c r="H24" s="107" t="n"/>
      <c r="I24" s="107" t="n"/>
      <c r="J24" s="130" t="n"/>
      <c r="K24" s="6" t="n"/>
      <c r="L24" s="3" t="n"/>
      <c r="M24" s="28" t="n"/>
      <c r="N24" s="19">
        <f>IF(ISBLANK(B24),"",IF(K24="","10%","8%"))</f>
        <v/>
      </c>
      <c r="O24" s="127" t="n"/>
      <c r="P24" s="128" t="n"/>
      <c r="Q24" s="8" t="n"/>
      <c r="R24" s="8" t="n"/>
      <c r="S24" s="8" t="n"/>
      <c r="T24" s="8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4" customFormat="1" customHeight="1" s="1">
      <c r="A25" s="8" t="n"/>
      <c r="B25" s="126" t="n"/>
      <c r="C25" s="119" t="n"/>
      <c r="D25" s="129" t="n"/>
      <c r="E25" s="107" t="n"/>
      <c r="F25" s="107" t="n"/>
      <c r="G25" s="107" t="n"/>
      <c r="H25" s="107" t="n"/>
      <c r="I25" s="107" t="n"/>
      <c r="J25" s="130" t="n"/>
      <c r="K25" s="6" t="n"/>
      <c r="L25" s="3" t="n"/>
      <c r="M25" s="28" t="n"/>
      <c r="N25" s="19">
        <f>IF(ISBLANK(B25),"",IF(K25="","10%","8%"))</f>
        <v/>
      </c>
      <c r="O25" s="127" t="n"/>
      <c r="P25" s="128" t="n"/>
      <c r="Q25" s="8" t="n"/>
      <c r="R25" s="8" t="n"/>
      <c r="S25" s="8" t="n"/>
      <c r="T25" s="8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 ht="24" customFormat="1" customHeight="1" s="1">
      <c r="A26" s="8" t="n"/>
      <c r="B26" s="126" t="n"/>
      <c r="C26" s="119" t="n"/>
      <c r="D26" s="129" t="n"/>
      <c r="E26" s="107" t="n"/>
      <c r="F26" s="107" t="n"/>
      <c r="G26" s="107" t="n"/>
      <c r="H26" s="107" t="n"/>
      <c r="I26" s="107" t="n"/>
      <c r="J26" s="130" t="n"/>
      <c r="K26" s="6" t="n"/>
      <c r="L26" s="3" t="n"/>
      <c r="M26" s="28" t="n"/>
      <c r="N26" s="19">
        <f>IF(ISBLANK(B26),"",IF(K26="","10%","8%"))</f>
        <v/>
      </c>
      <c r="O26" s="127" t="n"/>
      <c r="P26" s="128" t="n"/>
      <c r="Q26" s="8" t="n"/>
      <c r="R26" s="8" t="n"/>
      <c r="S26" s="8" t="n"/>
      <c r="T26" s="8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 ht="24" customFormat="1" customHeight="1" s="1">
      <c r="A27" s="8" t="n"/>
      <c r="B27" s="126" t="n"/>
      <c r="C27" s="119" t="n"/>
      <c r="D27" s="129" t="n"/>
      <c r="E27" s="107" t="n"/>
      <c r="F27" s="107" t="n"/>
      <c r="G27" s="107" t="n"/>
      <c r="H27" s="107" t="n"/>
      <c r="I27" s="107" t="n"/>
      <c r="J27" s="130" t="n"/>
      <c r="K27" s="6" t="n"/>
      <c r="L27" s="3" t="n"/>
      <c r="M27" s="28" t="n"/>
      <c r="N27" s="19">
        <f>IF(ISBLANK(B27),"",IF(K27="","10%","8%"))</f>
        <v/>
      </c>
      <c r="O27" s="127" t="n"/>
      <c r="P27" s="128" t="n"/>
      <c r="Q27" s="8" t="n"/>
      <c r="R27" s="8" t="n"/>
      <c r="S27" s="8" t="n"/>
      <c r="T27" s="8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</row>
    <row r="28" ht="24" customFormat="1" customHeight="1" s="1">
      <c r="A28" s="8" t="n"/>
      <c r="B28" s="126" t="n"/>
      <c r="C28" s="119" t="n"/>
      <c r="D28" s="129" t="n"/>
      <c r="E28" s="107" t="n"/>
      <c r="F28" s="107" t="n"/>
      <c r="G28" s="107" t="n"/>
      <c r="H28" s="107" t="n"/>
      <c r="I28" s="107" t="n"/>
      <c r="J28" s="130" t="n"/>
      <c r="K28" s="6" t="n"/>
      <c r="L28" s="3" t="n"/>
      <c r="M28" s="28" t="n"/>
      <c r="N28" s="19">
        <f>IF(ISBLANK(B28),"",IF(K28="","10%","8%"))</f>
        <v/>
      </c>
      <c r="O28" s="127" t="n"/>
      <c r="P28" s="128" t="n"/>
      <c r="Q28" s="8" t="n"/>
      <c r="R28" s="8" t="n"/>
      <c r="S28" s="8" t="n"/>
      <c r="T28" s="8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 ht="24" customFormat="1" customHeight="1" s="1">
      <c r="A29" s="8" t="n"/>
      <c r="B29" s="126" t="n"/>
      <c r="C29" s="119" t="n"/>
      <c r="D29" s="129" t="n"/>
      <c r="E29" s="107" t="n"/>
      <c r="F29" s="107" t="n"/>
      <c r="G29" s="107" t="n"/>
      <c r="H29" s="107" t="n"/>
      <c r="I29" s="107" t="n"/>
      <c r="J29" s="130" t="n"/>
      <c r="K29" s="6" t="n"/>
      <c r="L29" s="3" t="n"/>
      <c r="M29" s="28" t="n"/>
      <c r="N29" s="19">
        <f>IF(ISBLANK(B29),"",IF(K29="","10%","8%"))</f>
        <v/>
      </c>
      <c r="O29" s="127" t="n"/>
      <c r="P29" s="128" t="n"/>
      <c r="Q29" s="8" t="n"/>
      <c r="R29" s="8" t="n"/>
      <c r="S29" s="8" t="n"/>
      <c r="T29" s="8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</row>
    <row r="30" ht="24" customFormat="1" customHeight="1" s="1">
      <c r="A30" s="8" t="n"/>
      <c r="B30" s="126" t="n"/>
      <c r="C30" s="119" t="n"/>
      <c r="D30" s="129" t="n"/>
      <c r="E30" s="107" t="n"/>
      <c r="F30" s="107" t="n"/>
      <c r="G30" s="107" t="n"/>
      <c r="H30" s="107" t="n"/>
      <c r="I30" s="107" t="n"/>
      <c r="J30" s="130" t="n"/>
      <c r="K30" s="2" t="n"/>
      <c r="L30" s="3" t="n"/>
      <c r="M30" s="28" t="n"/>
      <c r="N30" s="19">
        <f>IF(ISBLANK(B30),"",IF(K30="","10%","8%"))</f>
        <v/>
      </c>
      <c r="O30" s="127" t="n"/>
      <c r="P30" s="128" t="n"/>
      <c r="Q30" s="8" t="n"/>
      <c r="R30" s="8" t="n"/>
      <c r="S30" s="8" t="n"/>
      <c r="T30" s="8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 ht="24" customFormat="1" customHeight="1" s="1">
      <c r="A31" s="8" t="n"/>
      <c r="B31" s="126" t="n"/>
      <c r="C31" s="119" t="n"/>
      <c r="D31" s="129" t="n"/>
      <c r="E31" s="107" t="n"/>
      <c r="F31" s="107" t="n"/>
      <c r="G31" s="107" t="n"/>
      <c r="H31" s="107" t="n"/>
      <c r="I31" s="107" t="n"/>
      <c r="J31" s="130" t="n"/>
      <c r="K31" s="2" t="n"/>
      <c r="L31" s="3" t="n"/>
      <c r="M31" s="28" t="n"/>
      <c r="N31" s="19">
        <f>IF(ISBLANK(B31),"",IF(K31="","10%","8%"))</f>
        <v/>
      </c>
      <c r="O31" s="127" t="n"/>
      <c r="P31" s="128" t="n"/>
      <c r="Q31" s="8" t="n"/>
      <c r="R31" s="8" t="n"/>
      <c r="S31" s="8" t="n"/>
      <c r="T31" s="8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</row>
    <row r="32" ht="24" customFormat="1" customHeight="1" s="1">
      <c r="A32" s="8" t="n"/>
      <c r="B32" s="126" t="n"/>
      <c r="C32" s="119" t="n"/>
      <c r="D32" s="129" t="n"/>
      <c r="E32" s="107" t="n"/>
      <c r="F32" s="107" t="n"/>
      <c r="G32" s="107" t="n"/>
      <c r="H32" s="107" t="n"/>
      <c r="I32" s="107" t="n"/>
      <c r="J32" s="130" t="n"/>
      <c r="K32" s="2" t="n"/>
      <c r="L32" s="3" t="n"/>
      <c r="M32" s="28" t="n"/>
      <c r="N32" s="19">
        <f>IF(ISBLANK(B32),"",IF(K32="","10%","8%"))</f>
        <v/>
      </c>
      <c r="O32" s="127" t="n"/>
      <c r="P32" s="128" t="n"/>
      <c r="Q32" s="8" t="n"/>
      <c r="R32" s="8" t="n"/>
      <c r="S32" s="8" t="n"/>
      <c r="T32" s="8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 ht="24" customFormat="1" customHeight="1" s="1">
      <c r="A33" s="8" t="n"/>
      <c r="B33" s="126" t="n"/>
      <c r="C33" s="119" t="n"/>
      <c r="D33" s="129" t="n"/>
      <c r="E33" s="107" t="n"/>
      <c r="F33" s="107" t="n"/>
      <c r="G33" s="107" t="n"/>
      <c r="H33" s="107" t="n"/>
      <c r="I33" s="107" t="n"/>
      <c r="J33" s="130" t="n"/>
      <c r="K33" s="2" t="n"/>
      <c r="L33" s="3" t="n"/>
      <c r="M33" s="28" t="n"/>
      <c r="N33" s="19">
        <f>IF(ISBLANK(B33),"",IF(K33="","10%","8%"))</f>
        <v/>
      </c>
      <c r="O33" s="127" t="n"/>
      <c r="P33" s="128" t="n"/>
      <c r="Q33" s="8" t="n"/>
      <c r="R33" s="8" t="n"/>
      <c r="S33" s="8" t="n"/>
      <c r="T33" s="8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</row>
    <row r="34" ht="24" customFormat="1" customHeight="1" s="1">
      <c r="A34" s="8" t="n"/>
      <c r="B34" s="126" t="n"/>
      <c r="C34" s="119" t="n"/>
      <c r="D34" s="129" t="n"/>
      <c r="E34" s="107" t="n"/>
      <c r="F34" s="107" t="n"/>
      <c r="G34" s="107" t="n"/>
      <c r="H34" s="107" t="n"/>
      <c r="I34" s="107" t="n"/>
      <c r="J34" s="130" t="n"/>
      <c r="K34" s="2" t="n"/>
      <c r="L34" s="3" t="n"/>
      <c r="M34" s="28" t="n"/>
      <c r="N34" s="19">
        <f>IF(ISBLANK(B34),"",IF(K34="","10%","8%"))</f>
        <v/>
      </c>
      <c r="O34" s="127" t="n"/>
      <c r="P34" s="128" t="n"/>
      <c r="Q34" s="8" t="n"/>
      <c r="R34" s="8" t="n"/>
      <c r="S34" s="8" t="n"/>
      <c r="T34" s="8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24" customFormat="1" customHeight="1" s="1">
      <c r="A35" s="8" t="n"/>
      <c r="B35" s="126" t="n"/>
      <c r="C35" s="119" t="n"/>
      <c r="D35" s="129" t="n"/>
      <c r="E35" s="107" t="n"/>
      <c r="F35" s="107" t="n"/>
      <c r="G35" s="107" t="n"/>
      <c r="H35" s="107" t="n"/>
      <c r="I35" s="107" t="n"/>
      <c r="J35" s="130" t="n"/>
      <c r="K35" s="2" t="n"/>
      <c r="L35" s="3" t="n"/>
      <c r="M35" s="28" t="n"/>
      <c r="N35" s="19">
        <f>IF(ISBLANK(B35),"",IF(K35="","10%","8%"))</f>
        <v/>
      </c>
      <c r="O35" s="127" t="n"/>
      <c r="P35" s="128" t="n"/>
      <c r="Q35" s="8" t="n"/>
      <c r="R35" s="8" t="n"/>
      <c r="S35" s="8" t="n"/>
      <c r="T35" s="8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 ht="24" customFormat="1" customHeight="1" s="1">
      <c r="A36" s="8" t="n"/>
      <c r="B36" s="126" t="n"/>
      <c r="C36" s="119" t="n"/>
      <c r="D36" s="129" t="n"/>
      <c r="E36" s="107" t="n"/>
      <c r="F36" s="107" t="n"/>
      <c r="G36" s="107" t="n"/>
      <c r="H36" s="107" t="n"/>
      <c r="I36" s="107" t="n"/>
      <c r="J36" s="130" t="n"/>
      <c r="K36" s="2" t="n"/>
      <c r="L36" s="3" t="n"/>
      <c r="M36" s="28" t="n"/>
      <c r="N36" s="19">
        <f>IF(ISBLANK(B36),"",IF(K36="","10%","8%"))</f>
        <v/>
      </c>
      <c r="O36" s="127" t="n"/>
      <c r="P36" s="128" t="n"/>
      <c r="Q36" s="8" t="n"/>
      <c r="R36" s="8" t="n"/>
      <c r="S36" s="8" t="n"/>
      <c r="T36" s="8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24" customFormat="1" customHeight="1" s="1">
      <c r="A37" s="8" t="n"/>
      <c r="B37" s="126" t="n"/>
      <c r="C37" s="119" t="n"/>
      <c r="D37" s="129" t="n"/>
      <c r="E37" s="107" t="n"/>
      <c r="F37" s="107" t="n"/>
      <c r="G37" s="107" t="n"/>
      <c r="H37" s="107" t="n"/>
      <c r="I37" s="107" t="n"/>
      <c r="J37" s="130" t="n"/>
      <c r="K37" s="2" t="n"/>
      <c r="L37" s="3" t="n"/>
      <c r="M37" s="28" t="n"/>
      <c r="N37" s="19">
        <f>IF(ISBLANK(B37),"",IF(K37="","10%","8%"))</f>
        <v/>
      </c>
      <c r="O37" s="127" t="n"/>
      <c r="P37" s="128" t="n"/>
      <c r="Q37" s="8" t="n"/>
      <c r="R37" s="8" t="n"/>
      <c r="S37" s="8" t="n"/>
      <c r="T37" s="8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 ht="24" customFormat="1" customHeight="1" s="1">
      <c r="A38" s="8" t="n"/>
      <c r="B38" s="126" t="n"/>
      <c r="C38" s="119" t="n"/>
      <c r="D38" s="129" t="n"/>
      <c r="E38" s="107" t="n"/>
      <c r="F38" s="107" t="n"/>
      <c r="G38" s="107" t="n"/>
      <c r="H38" s="107" t="n"/>
      <c r="I38" s="107" t="n"/>
      <c r="J38" s="130" t="n"/>
      <c r="K38" s="2" t="n"/>
      <c r="L38" s="3" t="n"/>
      <c r="M38" s="28" t="n"/>
      <c r="N38" s="19">
        <f>IF(ISBLANK(B38),"",IF(K38="","10%","8%"))</f>
        <v/>
      </c>
      <c r="O38" s="127" t="n"/>
      <c r="P38" s="128" t="n"/>
      <c r="Q38" s="8" t="n"/>
      <c r="R38" s="8" t="n"/>
      <c r="S38" s="8" t="n"/>
      <c r="T38" s="8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 ht="24" customFormat="1" customHeight="1" s="1">
      <c r="A39" s="8" t="n"/>
      <c r="B39" s="126" t="n"/>
      <c r="C39" s="119" t="n"/>
      <c r="D39" s="129" t="n"/>
      <c r="E39" s="107" t="n"/>
      <c r="F39" s="107" t="n"/>
      <c r="G39" s="107" t="n"/>
      <c r="H39" s="107" t="n"/>
      <c r="I39" s="107" t="n"/>
      <c r="J39" s="130" t="n"/>
      <c r="K39" s="2" t="n"/>
      <c r="L39" s="3" t="n"/>
      <c r="M39" s="28" t="n"/>
      <c r="N39" s="19">
        <f>IF(ISBLANK(B39),"",IF(K39="","10%","8%"))</f>
        <v/>
      </c>
      <c r="O39" s="127" t="n"/>
      <c r="P39" s="128" t="n"/>
      <c r="Q39" s="8" t="n"/>
      <c r="R39" s="8" t="n"/>
      <c r="S39" s="8" t="n"/>
      <c r="T39" s="8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</row>
    <row r="40" ht="24" customFormat="1" customHeight="1" s="1">
      <c r="A40" s="8" t="n"/>
      <c r="B40" s="126" t="n"/>
      <c r="C40" s="119" t="n"/>
      <c r="D40" s="129" t="n"/>
      <c r="E40" s="107" t="n"/>
      <c r="F40" s="107" t="n"/>
      <c r="G40" s="107" t="n"/>
      <c r="H40" s="107" t="n"/>
      <c r="I40" s="107" t="n"/>
      <c r="J40" s="130" t="n"/>
      <c r="K40" s="2" t="n"/>
      <c r="L40" s="3" t="n"/>
      <c r="M40" s="28" t="n"/>
      <c r="N40" s="19">
        <f>IF(ISBLANK(B40),"",IF(K40="","10%","8%"))</f>
        <v/>
      </c>
      <c r="O40" s="127" t="n"/>
      <c r="P40" s="128" t="n"/>
      <c r="Q40" s="8" t="n"/>
      <c r="R40" s="8" t="n"/>
      <c r="S40" s="8" t="n"/>
      <c r="T40" s="8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 ht="24" customFormat="1" customHeight="1" s="1">
      <c r="A41" s="8" t="n"/>
      <c r="B41" s="126" t="n"/>
      <c r="C41" s="119" t="n"/>
      <c r="D41" s="129" t="n"/>
      <c r="E41" s="107" t="n"/>
      <c r="F41" s="107" t="n"/>
      <c r="G41" s="107" t="n"/>
      <c r="H41" s="107" t="n"/>
      <c r="I41" s="107" t="n"/>
      <c r="J41" s="130" t="n"/>
      <c r="K41" s="2" t="n"/>
      <c r="L41" s="3" t="n"/>
      <c r="M41" s="28" t="n"/>
      <c r="N41" s="19">
        <f>IF(ISBLANK(B41),"",IF(K41="","10%","8%"))</f>
        <v/>
      </c>
      <c r="O41" s="127" t="n"/>
      <c r="P41" s="128" t="n"/>
      <c r="Q41" s="8" t="n"/>
      <c r="R41" s="8" t="n"/>
      <c r="S41" s="8" t="n"/>
      <c r="T41" s="8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</row>
    <row r="42" ht="24" customFormat="1" customHeight="1" s="1">
      <c r="A42" s="8" t="n"/>
      <c r="B42" s="126" t="n"/>
      <c r="C42" s="119" t="n"/>
      <c r="D42" s="129" t="n"/>
      <c r="E42" s="107" t="n"/>
      <c r="F42" s="107" t="n"/>
      <c r="G42" s="107" t="n"/>
      <c r="H42" s="107" t="n"/>
      <c r="I42" s="107" t="n"/>
      <c r="J42" s="130" t="n"/>
      <c r="K42" s="2" t="n"/>
      <c r="L42" s="3" t="n"/>
      <c r="M42" s="28" t="n"/>
      <c r="N42" s="19">
        <f>IF(ISBLANK(B42),"",IF(K42="","10%","8%"))</f>
        <v/>
      </c>
      <c r="O42" s="127" t="n"/>
      <c r="P42" s="128" t="n"/>
      <c r="Q42" s="8" t="n"/>
      <c r="R42" s="8" t="n"/>
      <c r="S42" s="8" t="n"/>
      <c r="T42" s="8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 ht="24" customFormat="1" customHeight="1" s="1">
      <c r="A43" s="8" t="n"/>
      <c r="B43" s="126" t="n"/>
      <c r="C43" s="119" t="n"/>
      <c r="D43" s="129" t="n"/>
      <c r="E43" s="107" t="n"/>
      <c r="F43" s="107" t="n"/>
      <c r="G43" s="107" t="n"/>
      <c r="H43" s="107" t="n"/>
      <c r="I43" s="107" t="n"/>
      <c r="J43" s="130" t="n"/>
      <c r="K43" s="2" t="n"/>
      <c r="L43" s="3" t="n"/>
      <c r="M43" s="28" t="n"/>
      <c r="N43" s="19">
        <f>IF(ISBLANK(B43),"",IF(K43="","10%","8%"))</f>
        <v/>
      </c>
      <c r="O43" s="127" t="n"/>
      <c r="P43" s="128" t="n"/>
      <c r="Q43" s="8" t="n"/>
      <c r="R43" s="8" t="n"/>
      <c r="S43" s="8" t="n"/>
      <c r="T43" s="8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</row>
    <row r="44" ht="24" customFormat="1" customHeight="1" s="1">
      <c r="A44" s="8" t="n"/>
      <c r="B44" s="126" t="n"/>
      <c r="C44" s="119" t="n"/>
      <c r="D44" s="129" t="n"/>
      <c r="E44" s="107" t="n"/>
      <c r="F44" s="107" t="n"/>
      <c r="G44" s="107" t="n"/>
      <c r="H44" s="107" t="n"/>
      <c r="I44" s="107" t="n"/>
      <c r="J44" s="130" t="n"/>
      <c r="K44" s="2" t="n"/>
      <c r="L44" s="3" t="n"/>
      <c r="M44" s="28" t="n"/>
      <c r="N44" s="19">
        <f>IF(ISBLANK(B44),"",IF(K44="","10%","8%"))</f>
        <v/>
      </c>
      <c r="O44" s="127" t="n"/>
      <c r="P44" s="128" t="n"/>
      <c r="Q44" s="8" t="n"/>
      <c r="R44" s="8" t="n"/>
      <c r="S44" s="8" t="n"/>
      <c r="T44" s="8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 ht="24" customFormat="1" customHeight="1" s="1">
      <c r="A45" s="8" t="n"/>
      <c r="B45" s="126" t="n"/>
      <c r="C45" s="119" t="n"/>
      <c r="D45" s="129" t="n"/>
      <c r="E45" s="107" t="n"/>
      <c r="F45" s="107" t="n"/>
      <c r="G45" s="107" t="n"/>
      <c r="H45" s="107" t="n"/>
      <c r="I45" s="107" t="n"/>
      <c r="J45" s="130" t="n"/>
      <c r="K45" s="2" t="n"/>
      <c r="L45" s="3" t="n"/>
      <c r="M45" s="28" t="n"/>
      <c r="N45" s="19">
        <f>IF(ISBLANK(B45),"",IF(K45="","10%","8%"))</f>
        <v/>
      </c>
      <c r="O45" s="127" t="n"/>
      <c r="P45" s="128" t="n"/>
      <c r="Q45" s="8" t="n"/>
      <c r="R45" s="8" t="n"/>
      <c r="S45" s="8" t="n"/>
      <c r="T45" s="8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 ht="24" customFormat="1" customHeight="1" s="1">
      <c r="A46" s="8" t="n"/>
      <c r="B46" s="126" t="n"/>
      <c r="C46" s="119" t="n"/>
      <c r="D46" s="129" t="n"/>
      <c r="E46" s="107" t="n"/>
      <c r="F46" s="107" t="n"/>
      <c r="G46" s="107" t="n"/>
      <c r="H46" s="107" t="n"/>
      <c r="I46" s="107" t="n"/>
      <c r="J46" s="130" t="n"/>
      <c r="K46" s="2" t="n"/>
      <c r="L46" s="3" t="n"/>
      <c r="M46" s="28" t="n"/>
      <c r="N46" s="19">
        <f>IF(ISBLANK(B46),"",IF(K46="","10%","8%"))</f>
        <v/>
      </c>
      <c r="O46" s="127" t="n"/>
      <c r="P46" s="128" t="n"/>
      <c r="Q46" s="8" t="n"/>
      <c r="R46" s="8" t="n"/>
      <c r="S46" s="8" t="n"/>
      <c r="T46" s="8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 ht="24" customFormat="1" customHeight="1" s="1">
      <c r="A47" s="8" t="n"/>
      <c r="B47" s="78" t="inlineStr">
        <is>
          <t>※は軽減税率対象です。</t>
        </is>
      </c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8" t="n"/>
      <c r="M47" s="78" t="n"/>
      <c r="N47" s="131" t="inlineStr">
        <is>
          <t>税込合計額</t>
        </is>
      </c>
      <c r="O47" s="132">
        <f>F49+F50</f>
        <v/>
      </c>
      <c r="P47" s="128" t="n"/>
      <c r="Q47" s="8" t="n"/>
      <c r="R47" s="8" t="n"/>
      <c r="S47" s="8" t="n"/>
      <c r="T47" s="8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 ht="24" customFormat="1" customHeight="1" s="1">
      <c r="A48" s="8" t="n"/>
      <c r="B48" s="49" t="inlineStr">
        <is>
          <t>税率区分</t>
        </is>
      </c>
      <c r="C48" s="108" t="n"/>
      <c r="D48" s="50" t="inlineStr">
        <is>
          <t>うち消費税</t>
        </is>
      </c>
      <c r="E48" s="108" t="n"/>
      <c r="F48" s="133" t="inlineStr">
        <is>
          <t>金額（税込）</t>
        </is>
      </c>
      <c r="G48" s="108" t="n"/>
      <c r="H48" s="78" t="n"/>
      <c r="I48" s="78" t="n"/>
      <c r="J48" s="78" t="n"/>
      <c r="K48" s="78" t="n"/>
      <c r="L48" s="78" t="n"/>
      <c r="M48" s="78" t="n"/>
      <c r="N48" s="131" t="inlineStr">
        <is>
          <t>内消費税</t>
        </is>
      </c>
      <c r="O48" s="134">
        <f>D49+D50</f>
        <v/>
      </c>
      <c r="P48" s="128" t="n"/>
      <c r="Q48" s="8" t="n"/>
      <c r="R48" s="8" t="n"/>
      <c r="S48" s="8" t="n"/>
      <c r="T48" s="8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 ht="24" customFormat="1" customHeight="1" s="1">
      <c r="A49" s="8" t="n"/>
      <c r="B49" s="27" t="inlineStr">
        <is>
          <t>8%対象</t>
        </is>
      </c>
      <c r="C49" s="108" t="n"/>
      <c r="D49" s="132">
        <f>F49-(F49/1.08)</f>
        <v/>
      </c>
      <c r="E49" s="128" t="n"/>
      <c r="F49" s="134">
        <f>SUMIF($K$21:$K$46,"※",$O$21:$O$46)</f>
        <v/>
      </c>
      <c r="G49" s="128" t="n"/>
      <c r="H49" s="78" t="n"/>
      <c r="I49" s="78" t="n"/>
      <c r="J49" s="78" t="n"/>
      <c r="K49" s="78" t="n"/>
      <c r="L49" s="78" t="n"/>
      <c r="M49" s="78" t="n"/>
      <c r="N49" s="8" t="n"/>
      <c r="O49" s="8" t="n"/>
      <c r="P49" s="8" t="n"/>
      <c r="Q49" s="8" t="n"/>
      <c r="R49" s="5" t="n"/>
      <c r="S49" s="5" t="n"/>
      <c r="T49" s="8" t="n"/>
      <c r="U49" s="5" t="n"/>
      <c r="V49" s="5" t="n"/>
      <c r="W49" s="5" t="n"/>
      <c r="X49" s="5" t="n"/>
      <c r="Y49" s="5" t="n"/>
      <c r="Z49" s="5" t="n"/>
      <c r="AA49" s="5" t="n"/>
    </row>
    <row r="50" ht="24" customFormat="1" customHeight="1" s="1">
      <c r="A50" s="8" t="n"/>
      <c r="B50" s="27" t="inlineStr">
        <is>
          <t>10%対象</t>
        </is>
      </c>
      <c r="C50" s="108" t="n"/>
      <c r="D50" s="132">
        <f>F50-(F50/1.1)</f>
        <v/>
      </c>
      <c r="E50" s="128" t="n"/>
      <c r="F50" s="134">
        <f>SUM($O$21:$O$46)-F49</f>
        <v/>
      </c>
      <c r="G50" s="128" t="n"/>
      <c r="H50" s="78" t="n"/>
      <c r="I50" s="78" t="n"/>
      <c r="J50" s="78" t="n"/>
      <c r="K50" s="78" t="n"/>
      <c r="L50" s="78" t="n"/>
      <c r="M50" s="78" t="n"/>
      <c r="N50" s="135" t="n"/>
      <c r="O50" s="136" t="n"/>
      <c r="P50" s="136" t="n"/>
      <c r="Q50" s="136" t="n"/>
      <c r="R50" s="8" t="n"/>
      <c r="S50" s="8" t="n"/>
      <c r="T50" s="8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 ht="18.95" customFormat="1" customHeight="1" s="1">
      <c r="A51" s="8" t="n"/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8" t="n"/>
      <c r="M51" s="78" t="n"/>
      <c r="N51" s="135" t="n"/>
      <c r="O51" s="135" t="n"/>
      <c r="P51" s="135" t="n"/>
      <c r="Q51" s="135" t="n"/>
      <c r="R51" s="8" t="n"/>
      <c r="S51" s="8" t="n"/>
      <c r="T51" s="8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 ht="33" customFormat="1" customHeight="1" s="1">
      <c r="A52" s="8" t="n"/>
      <c r="B52" s="137" t="inlineStr">
        <is>
          <t>備考</t>
        </is>
      </c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7" t="n"/>
      <c r="N52" s="107" t="n"/>
      <c r="O52" s="107" t="n"/>
      <c r="P52" s="107" t="n"/>
      <c r="Q52" s="108" t="n"/>
      <c r="R52" s="8" t="n"/>
      <c r="S52" s="8" t="n"/>
      <c r="T52" s="8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 ht="33" customFormat="1" customHeight="1" s="1">
      <c r="A53" s="8" t="n"/>
      <c r="B53" s="138" t="n"/>
      <c r="C53" s="118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9" t="n"/>
      <c r="R53" s="8" t="n"/>
      <c r="S53" s="8" t="n"/>
      <c r="T53" s="8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 ht="48" customFormat="1" customHeight="1" s="1">
      <c r="A54" s="8" t="n"/>
      <c r="B54" s="139" t="n"/>
      <c r="C54" s="102" t="n"/>
      <c r="D54" s="102" t="n"/>
      <c r="E54" s="102" t="n"/>
      <c r="F54" s="102" t="n"/>
      <c r="G54" s="102" t="n"/>
      <c r="H54" s="102" t="n"/>
      <c r="I54" s="102" t="n"/>
      <c r="J54" s="102" t="n"/>
      <c r="K54" s="102" t="n"/>
      <c r="L54" s="102" t="n"/>
      <c r="M54" s="102" t="n"/>
      <c r="N54" s="102" t="n"/>
      <c r="O54" s="102" t="n"/>
      <c r="P54" s="102" t="n"/>
      <c r="Q54" s="140" t="n"/>
      <c r="R54" s="8" t="n"/>
      <c r="S54" s="8" t="n"/>
      <c r="T54" s="8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 ht="0.75" customFormat="1" customHeight="1" s="1">
      <c r="A55" s="5" t="n"/>
      <c r="B55" s="141" t="n"/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  <c r="M55" s="106" t="n"/>
      <c r="N55" s="106" t="n"/>
      <c r="O55" s="106" t="n"/>
      <c r="P55" s="106" t="n"/>
      <c r="Q55" s="122" t="n"/>
      <c r="R55" s="8" t="n"/>
      <c r="S55" s="8" t="n"/>
      <c r="T55" s="8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 ht="78" customHeight="1" s="142"/>
    <row r="57" ht="33" customHeight="1" s="142"/>
    <row r="58" ht="33" customHeight="1" s="142"/>
    <row r="59" ht="33" customHeight="1" s="142"/>
    <row r="60" ht="33" customHeight="1" s="142"/>
    <row r="61" ht="33" customHeight="1" s="142"/>
    <row r="62" ht="33" customHeight="1" s="142"/>
    <row r="63" ht="33" customHeight="1" s="142"/>
    <row r="64" ht="33" customHeight="1" s="142"/>
    <row r="65" ht="33" customHeight="1" s="142"/>
    <row r="66" ht="33" customHeight="1" s="142"/>
    <row r="67" ht="33" customHeight="1" s="142"/>
    <row r="68" ht="33" customHeight="1" s="142"/>
    <row r="69" ht="33" customHeight="1" s="142"/>
    <row r="70" hidden="1" ht="33" customHeight="1" s="142"/>
    <row r="71" hidden="1" ht="33" customHeight="1" s="142"/>
    <row r="72" hidden="1" s="142"/>
    <row r="73" ht="17.25" customHeight="1" s="142"/>
    <row r="74" ht="17.25" customHeight="1" s="142"/>
    <row r="75" ht="17.25" customHeight="1" s="142"/>
    <row r="76" ht="17.25" customHeight="1" s="142"/>
    <row r="77" ht="17.25" customHeight="1" s="142"/>
    <row r="78" ht="17.25" customHeight="1" s="142"/>
  </sheetData>
  <mergeCells count="114">
    <mergeCell ref="O4:Q4"/>
    <mergeCell ref="B22:C22"/>
    <mergeCell ref="D24:J24"/>
    <mergeCell ref="B31:C31"/>
    <mergeCell ref="D33:J33"/>
    <mergeCell ref="B21:C21"/>
    <mergeCell ref="D26:J26"/>
    <mergeCell ref="D35:J35"/>
    <mergeCell ref="O32:P32"/>
    <mergeCell ref="N11:Q11"/>
    <mergeCell ref="O26:P26"/>
    <mergeCell ref="O41:P41"/>
    <mergeCell ref="D48:E48"/>
    <mergeCell ref="O35:P35"/>
    <mergeCell ref="B15:B16"/>
    <mergeCell ref="B38:C38"/>
    <mergeCell ref="O25:P25"/>
    <mergeCell ref="O43:P43"/>
    <mergeCell ref="O40:P40"/>
    <mergeCell ref="N12:Q12"/>
    <mergeCell ref="O27:P27"/>
    <mergeCell ref="B40:C40"/>
    <mergeCell ref="B2:Q2"/>
    <mergeCell ref="B49:C49"/>
    <mergeCell ref="C15:H15"/>
    <mergeCell ref="B24:C24"/>
    <mergeCell ref="B33:C33"/>
    <mergeCell ref="B32:C32"/>
    <mergeCell ref="B26:C26"/>
    <mergeCell ref="B41:C41"/>
    <mergeCell ref="B35:C35"/>
    <mergeCell ref="D37:J37"/>
    <mergeCell ref="O5:Q5"/>
    <mergeCell ref="B11:J11"/>
    <mergeCell ref="C16:H16"/>
    <mergeCell ref="B53:Q55"/>
    <mergeCell ref="B25:C25"/>
    <mergeCell ref="D39:J39"/>
    <mergeCell ref="M9:Q9"/>
    <mergeCell ref="B27:C27"/>
    <mergeCell ref="O45:P45"/>
    <mergeCell ref="D29:J29"/>
    <mergeCell ref="D23:J23"/>
    <mergeCell ref="D38:J38"/>
    <mergeCell ref="O29:P29"/>
    <mergeCell ref="O44:P44"/>
    <mergeCell ref="O31:P31"/>
    <mergeCell ref="B29:C29"/>
    <mergeCell ref="O21:P21"/>
    <mergeCell ref="B37:C37"/>
    <mergeCell ref="B52:Q52"/>
    <mergeCell ref="O37:P37"/>
    <mergeCell ref="D27:J27"/>
    <mergeCell ref="B7:J7"/>
    <mergeCell ref="F48:G48"/>
    <mergeCell ref="D28:J28"/>
    <mergeCell ref="O34:P34"/>
    <mergeCell ref="O28:P28"/>
    <mergeCell ref="D25:J25"/>
    <mergeCell ref="D30:J30"/>
    <mergeCell ref="O39:P39"/>
    <mergeCell ref="O36:P36"/>
    <mergeCell ref="B43:C43"/>
    <mergeCell ref="O30:P30"/>
    <mergeCell ref="O20:P20"/>
    <mergeCell ref="D49:E49"/>
    <mergeCell ref="B42:C42"/>
    <mergeCell ref="B9:J9"/>
    <mergeCell ref="F50:G50"/>
    <mergeCell ref="C17:H17"/>
    <mergeCell ref="B12:J13"/>
    <mergeCell ref="O22:P22"/>
    <mergeCell ref="D31:J31"/>
    <mergeCell ref="D46:J46"/>
    <mergeCell ref="B44:C44"/>
    <mergeCell ref="D40:J40"/>
    <mergeCell ref="B34:C34"/>
    <mergeCell ref="O46:P46"/>
    <mergeCell ref="B28:C28"/>
    <mergeCell ref="D21:J21"/>
    <mergeCell ref="O47:P47"/>
    <mergeCell ref="O48:P48"/>
    <mergeCell ref="B30:C30"/>
    <mergeCell ref="D32:J32"/>
    <mergeCell ref="D41:J41"/>
    <mergeCell ref="O6:Q6"/>
    <mergeCell ref="B20:C20"/>
    <mergeCell ref="O23:P23"/>
    <mergeCell ref="B45:C45"/>
    <mergeCell ref="O38:P38"/>
    <mergeCell ref="F49:G49"/>
    <mergeCell ref="D43:J43"/>
    <mergeCell ref="N10:Q10"/>
    <mergeCell ref="O24:P24"/>
    <mergeCell ref="B46:C46"/>
    <mergeCell ref="O33:P33"/>
    <mergeCell ref="B8:J8"/>
    <mergeCell ref="D42:J42"/>
    <mergeCell ref="B39:C39"/>
    <mergeCell ref="B48:C48"/>
    <mergeCell ref="B10:J10"/>
    <mergeCell ref="D44:J44"/>
    <mergeCell ref="B23:C23"/>
    <mergeCell ref="D20:J20"/>
    <mergeCell ref="D34:J34"/>
    <mergeCell ref="D22:J22"/>
    <mergeCell ref="D36:J36"/>
    <mergeCell ref="D45:J45"/>
    <mergeCell ref="O42:P42"/>
    <mergeCell ref="M8:Q8"/>
    <mergeCell ref="B6:I6"/>
    <mergeCell ref="B36:C36"/>
    <mergeCell ref="B50:C50"/>
    <mergeCell ref="D50:E50"/>
  </mergeCells>
  <dataValidations count="2">
    <dataValidation sqref="B21:B46 O4:Q5" showDropDown="0" showInputMessage="1" showErrorMessage="1" allowBlank="1" errorTitle="日付の入力エラー" error="正しい日付を入力してください。" type="date" operator="greaterThan">
      <formula1>1</formula1>
    </dataValidation>
    <dataValidation sqref="K21:K46" showDropDown="0" showInputMessage="1" showErrorMessage="1" allowBlank="1" type="list">
      <formula1>"※"</formula1>
    </dataValidation>
  </dataValidations>
  <printOptions horizontalCentered="1"/>
  <pageMargins left="0.3149606299212598" right="0.3149606299212598" top="0.5511811023622047" bottom="0" header="0.3149606299212598" footer="0.3149606299212598"/>
  <pageSetup orientation="portrait" paperSize="9" scale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Ryusei Kakubari</dc:creator>
  <dcterms:created xsi:type="dcterms:W3CDTF">2022-12-20T01:06:52Z</dcterms:created>
  <dcterms:modified xsi:type="dcterms:W3CDTF">2026-08-03T08:18:28Z</dcterms:modified>
  <cp:lastModifiedBy>芳郎 我妻</cp:lastModifiedBy>
  <cp:lastPrinted>2026-08-03T00:55:26Z</cp:lastPrinted>
</cp:coreProperties>
</file>