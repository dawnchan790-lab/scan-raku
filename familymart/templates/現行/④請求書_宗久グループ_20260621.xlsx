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ファミリーマート関連\納品書,納品一覧(国見ケ丘他)\ファミマ請求書07年\宗久様\"/>
    </mc:Choice>
  </mc:AlternateContent>
  <xr:revisionPtr revIDLastSave="0" documentId="13_ncr:1_{49ED6EA6-2296-4C6A-ABCF-0B54C9563666}" xr6:coauthVersionLast="47" xr6:coauthVersionMax="47" xr10:uidLastSave="{00000000-0000-0000-0000-000000000000}"/>
  <bookViews>
    <workbookView xWindow="390" yWindow="390" windowWidth="22620" windowHeight="15075" activeTab="4" xr2:uid="{00000000-000D-0000-FFFF-FFFF00000000}"/>
  </bookViews>
  <sheets>
    <sheet name="国見ケ丘店" sheetId="6" r:id="rId1"/>
    <sheet name="八乙女店" sheetId="7" r:id="rId2"/>
    <sheet name="川平1丁目店" sheetId="10" r:id="rId3"/>
    <sheet name="堤町店" sheetId="8" r:id="rId4"/>
    <sheet name="広瀬立町店" sheetId="9" r:id="rId5"/>
  </sheets>
  <definedNames>
    <definedName name="_xlnm.Print_Area" localSheetId="4">広瀬立町店!$A$1:$T$55</definedName>
    <definedName name="_xlnm.Print_Area" localSheetId="0">国見ケ丘店!$A$1:$T$55</definedName>
    <definedName name="_xlnm.Print_Area" localSheetId="2">川平1丁目店!$A$1:$T$55</definedName>
    <definedName name="_xlnm.Print_Area" localSheetId="3">堤町店!$A$1:$T$55</definedName>
    <definedName name="_xlnm.Print_Area" localSheetId="1">八乙女店!$A$1:$T$58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0" i="9" l="1"/>
  <c r="F49" i="9"/>
  <c r="F47" i="10"/>
  <c r="F50" i="6"/>
  <c r="F49" i="6"/>
  <c r="N24" i="8"/>
  <c r="N23" i="8"/>
  <c r="F51" i="8"/>
  <c r="F48" i="10"/>
  <c r="F52" i="7"/>
  <c r="F51" i="7"/>
  <c r="O47" i="9" l="1"/>
  <c r="O47" i="6"/>
  <c r="N26" i="7"/>
  <c r="D49" i="9" l="1"/>
  <c r="O45" i="10"/>
  <c r="N24" i="7"/>
  <c r="B12" i="9" l="1"/>
  <c r="D48" i="10" l="1"/>
  <c r="D47" i="10"/>
  <c r="D50" i="9"/>
  <c r="N46" i="9"/>
  <c r="N45" i="9"/>
  <c r="N44" i="9"/>
  <c r="N43" i="9"/>
  <c r="N42" i="9"/>
  <c r="N41" i="9"/>
  <c r="N40" i="9"/>
  <c r="N39" i="9"/>
  <c r="N38" i="9"/>
  <c r="N37" i="9"/>
  <c r="N22" i="9"/>
  <c r="N21" i="9"/>
  <c r="F52" i="8"/>
  <c r="D52" i="8" s="1"/>
  <c r="N48" i="8"/>
  <c r="N47" i="8"/>
  <c r="N46" i="8"/>
  <c r="N45" i="8"/>
  <c r="N44" i="8"/>
  <c r="N43" i="8"/>
  <c r="N42" i="8"/>
  <c r="N41" i="8"/>
  <c r="N40" i="8"/>
  <c r="N39" i="8"/>
  <c r="N22" i="8"/>
  <c r="N21" i="8"/>
  <c r="N44" i="10"/>
  <c r="N43" i="10"/>
  <c r="N42" i="10"/>
  <c r="N41" i="10"/>
  <c r="N40" i="10"/>
  <c r="N39" i="10"/>
  <c r="N22" i="10"/>
  <c r="N21" i="10"/>
  <c r="D52" i="7"/>
  <c r="D51" i="7"/>
  <c r="N48" i="7"/>
  <c r="N47" i="7"/>
  <c r="N46" i="7"/>
  <c r="N45" i="7"/>
  <c r="N44" i="7"/>
  <c r="N43" i="7"/>
  <c r="N42" i="7"/>
  <c r="N41" i="7"/>
  <c r="N40" i="7"/>
  <c r="N39" i="7"/>
  <c r="N22" i="7"/>
  <c r="N21" i="7"/>
  <c r="D49" i="6"/>
  <c r="O49" i="8" l="1"/>
  <c r="B12" i="8" s="1"/>
  <c r="D50" i="6"/>
  <c r="O48" i="6" s="1"/>
  <c r="B12" i="6"/>
  <c r="O50" i="7"/>
  <c r="O48" i="9"/>
  <c r="O49" i="7"/>
  <c r="B12" i="7" s="1"/>
  <c r="D51" i="8"/>
  <c r="O50" i="8" s="1"/>
  <c r="O46" i="10"/>
  <c r="B12" i="10"/>
  <c r="V12" i="10" l="1"/>
  <c r="V12" i="7"/>
  <c r="V12" i="8"/>
  <c r="N22" i="6" l="1"/>
  <c r="N21" i="6"/>
</calcChain>
</file>

<file path=xl/sharedStrings.xml><?xml version="1.0" encoding="utf-8"?>
<sst xmlns="http://schemas.openxmlformats.org/spreadsheetml/2006/main" count="258" uniqueCount="42">
  <si>
    <t>請求書</t>
    <rPh sb="0" eb="3">
      <t>セイキュウ</t>
    </rPh>
    <phoneticPr fontId="1"/>
  </si>
  <si>
    <t>発行日</t>
    <rPh sb="0" eb="3">
      <t>ハッコウビ</t>
    </rPh>
    <phoneticPr fontId="1"/>
  </si>
  <si>
    <t>住所：</t>
    <rPh sb="0" eb="2">
      <t>ジュウショ</t>
    </rPh>
    <phoneticPr fontId="1"/>
  </si>
  <si>
    <t>登録番号</t>
    <phoneticPr fontId="1"/>
  </si>
  <si>
    <t>電話：</t>
    <rPh sb="0" eb="2">
      <t>デンワ</t>
    </rPh>
    <phoneticPr fontId="1"/>
  </si>
  <si>
    <t>下記の通り、ご請求申し上げます。</t>
    <rPh sb="0" eb="2">
      <t>カキ</t>
    </rPh>
    <rPh sb="9" eb="10">
      <t>モウセィ</t>
    </rPh>
    <phoneticPr fontId="1"/>
  </si>
  <si>
    <t>ご請求金額（税込）</t>
    <rPh sb="6" eb="8">
      <t>ゼイ</t>
    </rPh>
    <phoneticPr fontId="1"/>
  </si>
  <si>
    <t>振込先</t>
    <rPh sb="0" eb="3">
      <t>フリコミ</t>
    </rPh>
    <phoneticPr fontId="1"/>
  </si>
  <si>
    <t>振込期日</t>
    <rPh sb="0" eb="1">
      <t>フリコミキ</t>
    </rPh>
    <phoneticPr fontId="1"/>
  </si>
  <si>
    <t>税率</t>
    <rPh sb="0" eb="2">
      <t>ゼイリ</t>
    </rPh>
    <phoneticPr fontId="1"/>
  </si>
  <si>
    <t>単位</t>
    <rPh sb="0" eb="2">
      <t>タンイ</t>
    </rPh>
    <phoneticPr fontId="1"/>
  </si>
  <si>
    <t>数量</t>
    <rPh sb="0" eb="2">
      <t>スウ</t>
    </rPh>
    <phoneticPr fontId="1"/>
  </si>
  <si>
    <t>税率区分</t>
    <rPh sb="0" eb="2">
      <t>ゼイリ</t>
    </rPh>
    <rPh sb="2" eb="4">
      <t>クブn</t>
    </rPh>
    <phoneticPr fontId="1"/>
  </si>
  <si>
    <t>10%対象</t>
    <rPh sb="3" eb="5">
      <t>タイショ</t>
    </rPh>
    <phoneticPr fontId="1"/>
  </si>
  <si>
    <t>8%対象</t>
    <rPh sb="2" eb="4">
      <t>タイショ</t>
    </rPh>
    <phoneticPr fontId="1"/>
  </si>
  <si>
    <t>備考</t>
    <rPh sb="0" eb="2">
      <t>ビコウ</t>
    </rPh>
    <phoneticPr fontId="1"/>
  </si>
  <si>
    <t>※は軽減税率対象です。</t>
    <rPh sb="2" eb="6">
      <t>ケイゲンズ</t>
    </rPh>
    <rPh sb="6" eb="8">
      <t>タイショウ</t>
    </rPh>
    <phoneticPr fontId="1"/>
  </si>
  <si>
    <t>振込手数料は御社のご負担にてお願いいたします。</t>
    <rPh sb="0" eb="1">
      <t>フリコミ</t>
    </rPh>
    <rPh sb="6" eb="8">
      <t>オンシャ</t>
    </rPh>
    <phoneticPr fontId="1"/>
  </si>
  <si>
    <t>軽減税率</t>
    <rPh sb="0" eb="4">
      <t>ケイゲn</t>
    </rPh>
    <phoneticPr fontId="1"/>
  </si>
  <si>
    <t>FAX：</t>
  </si>
  <si>
    <t>販売日</t>
    <rPh sb="0" eb="2">
      <t>ハンバイ</t>
    </rPh>
    <rPh sb="2" eb="3">
      <t>ビ</t>
    </rPh>
    <phoneticPr fontId="1"/>
  </si>
  <si>
    <t>品名</t>
    <phoneticPr fontId="1"/>
  </si>
  <si>
    <t>※</t>
  </si>
  <si>
    <t>発行番号</t>
    <rPh sb="0" eb="2">
      <t>ハッコウ</t>
    </rPh>
    <rPh sb="2" eb="4">
      <t>バンゴウ</t>
    </rPh>
    <phoneticPr fontId="1"/>
  </si>
  <si>
    <t>御中</t>
    <rPh sb="0" eb="2">
      <t>オンチュウ</t>
    </rPh>
    <phoneticPr fontId="1"/>
  </si>
  <si>
    <t>売上</t>
    <rPh sb="0" eb="2">
      <t>ウリアゲ</t>
    </rPh>
    <phoneticPr fontId="1"/>
  </si>
  <si>
    <t>ファミリーマート　広瀬通立町店</t>
    <rPh sb="9" eb="12">
      <t>ヒロセドオリ</t>
    </rPh>
    <rPh sb="12" eb="14">
      <t>タチマチ</t>
    </rPh>
    <rPh sb="14" eb="15">
      <t>テン</t>
    </rPh>
    <phoneticPr fontId="1"/>
  </si>
  <si>
    <t>ファミリーマート　川平1丁目店</t>
    <rPh sb="9" eb="11">
      <t>カワヒラ</t>
    </rPh>
    <rPh sb="12" eb="14">
      <t>チョウメ</t>
    </rPh>
    <rPh sb="14" eb="15">
      <t>テン</t>
    </rPh>
    <phoneticPr fontId="1"/>
  </si>
  <si>
    <t>ファミリーマート　堤町1丁目店</t>
    <rPh sb="9" eb="11">
      <t>ツツミマチ</t>
    </rPh>
    <rPh sb="12" eb="14">
      <t>チョウメ</t>
    </rPh>
    <rPh sb="14" eb="15">
      <t>テン</t>
    </rPh>
    <phoneticPr fontId="1"/>
  </si>
  <si>
    <t>ファミリーマート　仙台国見ケ丘店</t>
    <rPh sb="9" eb="11">
      <t>センダイ</t>
    </rPh>
    <rPh sb="11" eb="15">
      <t>クニミガオカ</t>
    </rPh>
    <rPh sb="15" eb="16">
      <t>テン</t>
    </rPh>
    <phoneticPr fontId="1"/>
  </si>
  <si>
    <t>株式会社　工藤祐作商店</t>
    <rPh sb="5" eb="7">
      <t>クドウ</t>
    </rPh>
    <rPh sb="7" eb="11">
      <t>ユウサクショウテン</t>
    </rPh>
    <phoneticPr fontId="1"/>
  </si>
  <si>
    <t>七十七銀行　中央市場支店（当座）1000497　</t>
    <rPh sb="6" eb="8">
      <t>チュウオウ</t>
    </rPh>
    <rPh sb="8" eb="10">
      <t>イチバ</t>
    </rPh>
    <rPh sb="13" eb="15">
      <t>トウザ</t>
    </rPh>
    <phoneticPr fontId="1"/>
  </si>
  <si>
    <t>カ．クドウユウサクシヨウテン</t>
    <phoneticPr fontId="1"/>
  </si>
  <si>
    <t>〒984-0015</t>
    <phoneticPr fontId="1"/>
  </si>
  <si>
    <t>宮城県仙台市若林区卸町四丁目3-1</t>
    <rPh sb="0" eb="3">
      <t>ミヤギケン</t>
    </rPh>
    <rPh sb="3" eb="6">
      <t>センダイシ</t>
    </rPh>
    <rPh sb="6" eb="9">
      <t>ワカバヤシク</t>
    </rPh>
    <rPh sb="9" eb="11">
      <t>オロシマチ</t>
    </rPh>
    <rPh sb="11" eb="14">
      <t>ヨンチョウメ</t>
    </rPh>
    <phoneticPr fontId="1"/>
  </si>
  <si>
    <t>022-232-8596</t>
    <phoneticPr fontId="1"/>
  </si>
  <si>
    <t>022-232-8341</t>
    <phoneticPr fontId="1"/>
  </si>
  <si>
    <t>金額（税込）</t>
    <rPh sb="0" eb="2">
      <t>キンガク</t>
    </rPh>
    <rPh sb="3" eb="5">
      <t>ゼイコミ</t>
    </rPh>
    <phoneticPr fontId="1"/>
  </si>
  <si>
    <t>うち消費税</t>
    <rPh sb="2" eb="5">
      <t>ショウヒゼイ</t>
    </rPh>
    <phoneticPr fontId="1"/>
  </si>
  <si>
    <t>内消費税</t>
    <rPh sb="0" eb="1">
      <t>ウチ</t>
    </rPh>
    <rPh sb="1" eb="4">
      <t>ショウヒ</t>
    </rPh>
    <phoneticPr fontId="1"/>
  </si>
  <si>
    <t>税込合計額</t>
    <rPh sb="0" eb="2">
      <t>ゼイコ</t>
    </rPh>
    <rPh sb="2" eb="4">
      <t>ゴウケイ</t>
    </rPh>
    <rPh sb="4" eb="5">
      <t>ガク</t>
    </rPh>
    <phoneticPr fontId="1"/>
  </si>
  <si>
    <t>ファミリーマート　八乙女中央店</t>
    <rPh sb="9" eb="12">
      <t>ヤオトメ</t>
    </rPh>
    <rPh sb="12" eb="14">
      <t>チュウオウ</t>
    </rPh>
    <rPh sb="14" eb="15">
      <t>テン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</si>
</sst>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¥&quot;#,##0;[Red]&quot;¥&quot;\-#,##0"/>
    <numFmt numFmtId="176" formatCode="&quot;〒&quot;000\-0000"/>
    <numFmt numFmtId="177" formatCode="\T###0"/>
    <numFmt numFmtId="178" formatCode="0_);[Red]\(0\)"/>
    <numFmt numFmtId="179" formatCode="&quot;¥&quot;#,##0.0;[Red]&quot;¥&quot;\-#,##0.0"/>
  </numFmts>
  <fonts count="13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4"/>
      <color theme="1"/>
      <name val="ＭＳ Ｐゴシック"/>
      <family val="2"/>
      <charset val="128"/>
    </font>
    <font>
      <sz val="18"/>
      <color theme="1"/>
      <name val="ＭＳ Ｐゴシック"/>
      <family val="2"/>
      <charset val="128"/>
    </font>
    <font>
      <sz val="26"/>
      <color theme="1"/>
      <name val="ＭＳ Ｐゴシック"/>
      <family val="2"/>
      <charset val="128"/>
    </font>
    <font>
      <sz val="16"/>
      <color theme="1"/>
      <name val="ＭＳ Ｐゴシック"/>
      <family val="2"/>
      <charset val="128"/>
    </font>
    <font>
      <sz val="32"/>
      <color theme="1"/>
      <name val="ＭＳ Ｐゴシック"/>
      <family val="2"/>
      <charset val="128"/>
    </font>
    <font>
      <sz val="22"/>
      <color theme="1"/>
      <name val="ＭＳ Ｐゴシック"/>
      <family val="2"/>
      <charset val="128"/>
    </font>
    <font>
      <sz val="36"/>
      <color theme="0"/>
      <name val="ＭＳ Ｐゴシック"/>
      <family val="2"/>
      <charset val="128"/>
    </font>
    <font>
      <sz val="16"/>
      <color theme="0"/>
      <name val="ＭＳ Ｐゴシック"/>
      <family val="2"/>
      <charset val="128"/>
    </font>
    <font>
      <sz val="16"/>
      <color theme="0"/>
      <name val="ＭＳ Ｐゴシック"/>
      <family val="3"/>
      <charset val="128"/>
    </font>
    <font>
      <sz val="14"/>
      <color theme="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70C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theme="1"/>
      </right>
      <top style="thin">
        <color indexed="64"/>
      </top>
      <bottom style="thin">
        <color indexed="64"/>
      </bottom>
      <diagonal/>
    </border>
    <border>
      <left style="dotted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102">
    <xf numFmtId="0" fontId="0" fillId="0" borderId="0" xfId="0">
      <alignment vertical="center"/>
    </xf>
    <xf numFmtId="0" fontId="3" fillId="0" borderId="0" xfId="0" applyFont="1">
      <alignment vertical="center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Protection="1">
      <alignment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3" fillId="2" borderId="0" xfId="0" applyFont="1" applyFill="1">
      <alignment vertical="center"/>
    </xf>
    <xf numFmtId="0" fontId="6" fillId="0" borderId="13" xfId="0" applyFont="1" applyBorder="1" applyAlignment="1" applyProtection="1">
      <alignment horizontal="center" vertical="center"/>
      <protection locked="0"/>
    </xf>
    <xf numFmtId="6" fontId="6" fillId="0" borderId="0" xfId="1" applyFont="1" applyBorder="1" applyAlignment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4" fillId="0" borderId="0" xfId="0" applyFont="1" applyProtection="1">
      <alignment vertical="center"/>
      <protection locked="0"/>
    </xf>
    <xf numFmtId="0" fontId="6" fillId="0" borderId="0" xfId="0" applyFont="1" applyProtection="1">
      <alignment vertical="center"/>
      <protection locked="0"/>
    </xf>
    <xf numFmtId="6" fontId="6" fillId="0" borderId="0" xfId="0" applyNumberFormat="1" applyFont="1" applyProtection="1">
      <alignment vertical="center"/>
      <protection locked="0"/>
    </xf>
    <xf numFmtId="0" fontId="11" fillId="3" borderId="16" xfId="0" applyFont="1" applyFill="1" applyBorder="1" applyAlignment="1" applyProtection="1">
      <alignment horizontal="center" vertical="center"/>
      <protection locked="0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2" fillId="3" borderId="15" xfId="0" applyFont="1" applyFill="1" applyBorder="1" applyAlignment="1" applyProtection="1">
      <alignment horizontal="center" vertical="center"/>
      <protection locked="0"/>
    </xf>
    <xf numFmtId="0" fontId="5" fillId="0" borderId="0" xfId="0" applyFont="1" applyProtection="1">
      <alignment vertical="center"/>
      <protection locked="0"/>
    </xf>
    <xf numFmtId="9" fontId="6" fillId="0" borderId="1" xfId="2" applyFont="1" applyBorder="1" applyAlignment="1" applyProtection="1">
      <alignment horizontal="center" vertical="center"/>
    </xf>
    <xf numFmtId="179" fontId="3" fillId="2" borderId="0" xfId="0" applyNumberFormat="1" applyFont="1" applyFill="1">
      <alignment vertical="center"/>
    </xf>
    <xf numFmtId="0" fontId="6" fillId="0" borderId="0" xfId="0" applyFont="1" applyAlignment="1" applyProtection="1">
      <alignment horizontal="center" vertical="center"/>
      <protection locked="0"/>
    </xf>
    <xf numFmtId="6" fontId="10" fillId="3" borderId="8" xfId="0" applyNumberFormat="1" applyFont="1" applyFill="1" applyBorder="1" applyProtection="1">
      <alignment vertical="center"/>
      <protection locked="0"/>
    </xf>
    <xf numFmtId="6" fontId="3" fillId="2" borderId="0" xfId="0" applyNumberFormat="1" applyFont="1" applyFill="1">
      <alignment vertical="center"/>
    </xf>
    <xf numFmtId="0" fontId="6" fillId="0" borderId="8" xfId="0" applyFont="1" applyBorder="1" applyAlignment="1" applyProtection="1">
      <alignment horizontal="left" vertical="center" indent="1"/>
      <protection locked="0"/>
    </xf>
    <xf numFmtId="0" fontId="6" fillId="0" borderId="9" xfId="0" applyFont="1" applyBorder="1" applyAlignment="1" applyProtection="1">
      <alignment horizontal="left" vertical="center" indent="1"/>
      <protection locked="0"/>
    </xf>
    <xf numFmtId="0" fontId="6" fillId="0" borderId="12" xfId="0" applyFont="1" applyBorder="1" applyAlignment="1" applyProtection="1">
      <alignment horizontal="left" vertical="center" indent="1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6" fontId="6" fillId="0" borderId="1" xfId="0" applyNumberFormat="1" applyFont="1" applyBorder="1">
      <alignment vertical="center"/>
    </xf>
    <xf numFmtId="6" fontId="6" fillId="0" borderId="8" xfId="1" applyFont="1" applyBorder="1" applyAlignment="1" applyProtection="1">
      <alignment vertical="center"/>
    </xf>
    <xf numFmtId="6" fontId="6" fillId="0" borderId="10" xfId="1" applyFont="1" applyBorder="1" applyAlignment="1" applyProtection="1">
      <alignment vertical="center"/>
    </xf>
    <xf numFmtId="0" fontId="3" fillId="0" borderId="18" xfId="0" applyFont="1" applyBorder="1" applyAlignment="1" applyProtection="1">
      <alignment horizontal="center" vertical="top"/>
      <protection locked="0"/>
    </xf>
    <xf numFmtId="0" fontId="3" fillId="0" borderId="3" xfId="0" applyFont="1" applyBorder="1" applyAlignment="1" applyProtection="1">
      <alignment horizontal="center" vertical="top"/>
      <protection locked="0"/>
    </xf>
    <xf numFmtId="0" fontId="3" fillId="0" borderId="4" xfId="0" applyFont="1" applyBorder="1" applyAlignment="1" applyProtection="1">
      <alignment horizontal="center" vertical="top"/>
      <protection locked="0"/>
    </xf>
    <xf numFmtId="0" fontId="3" fillId="0" borderId="28" xfId="0" applyFont="1" applyBorder="1" applyAlignment="1" applyProtection="1">
      <alignment horizontal="center" vertical="top"/>
      <protection locked="0"/>
    </xf>
    <xf numFmtId="0" fontId="3" fillId="0" borderId="0" xfId="0" applyFont="1" applyAlignment="1" applyProtection="1">
      <alignment horizontal="center" vertical="top"/>
      <protection locked="0"/>
    </xf>
    <xf numFmtId="0" fontId="3" fillId="0" borderId="29" xfId="0" applyFont="1" applyBorder="1" applyAlignment="1" applyProtection="1">
      <alignment horizontal="center" vertical="top"/>
      <protection locked="0"/>
    </xf>
    <xf numFmtId="0" fontId="3" fillId="0" borderId="19" xfId="0" applyFont="1" applyBorder="1" applyAlignment="1" applyProtection="1">
      <alignment horizontal="center" vertical="top"/>
      <protection locked="0"/>
    </xf>
    <xf numFmtId="0" fontId="3" fillId="0" borderId="6" xfId="0" applyFont="1" applyBorder="1" applyAlignment="1" applyProtection="1">
      <alignment horizontal="center" vertical="top"/>
      <protection locked="0"/>
    </xf>
    <xf numFmtId="0" fontId="3" fillId="0" borderId="7" xfId="0" applyFont="1" applyBorder="1" applyAlignment="1" applyProtection="1">
      <alignment horizontal="center" vertical="top"/>
      <protection locked="0"/>
    </xf>
    <xf numFmtId="0" fontId="10" fillId="3" borderId="17" xfId="0" applyFont="1" applyFill="1" applyBorder="1" applyAlignment="1" applyProtection="1">
      <alignment horizontal="left" vertical="center"/>
      <protection locked="0"/>
    </xf>
    <xf numFmtId="0" fontId="10" fillId="3" borderId="9" xfId="0" applyFont="1" applyFill="1" applyBorder="1" applyAlignment="1" applyProtection="1">
      <alignment horizontal="left" vertical="center"/>
      <protection locked="0"/>
    </xf>
    <xf numFmtId="0" fontId="10" fillId="3" borderId="10" xfId="0" applyFont="1" applyFill="1" applyBorder="1" applyAlignment="1" applyProtection="1">
      <alignment horizontal="left" vertical="center"/>
      <protection locked="0"/>
    </xf>
    <xf numFmtId="14" fontId="6" fillId="0" borderId="24" xfId="0" applyNumberFormat="1" applyFont="1" applyBorder="1" applyAlignment="1" applyProtection="1">
      <alignment horizontal="center" vertical="center"/>
      <protection locked="0"/>
    </xf>
    <xf numFmtId="14" fontId="6" fillId="0" borderId="25" xfId="0" applyNumberFormat="1" applyFont="1" applyBorder="1" applyAlignment="1" applyProtection="1">
      <alignment horizontal="center" vertical="center"/>
      <protection locked="0"/>
    </xf>
    <xf numFmtId="6" fontId="6" fillId="0" borderId="1" xfId="1" applyFont="1" applyBorder="1" applyAlignment="1" applyProtection="1">
      <alignment horizontal="right" vertical="center"/>
    </xf>
    <xf numFmtId="6" fontId="6" fillId="0" borderId="8" xfId="0" applyNumberFormat="1" applyFont="1" applyBorder="1">
      <alignment vertical="center"/>
    </xf>
    <xf numFmtId="6" fontId="6" fillId="0" borderId="10" xfId="0" applyNumberFormat="1" applyFont="1" applyBorder="1">
      <alignment vertical="center"/>
    </xf>
    <xf numFmtId="0" fontId="10" fillId="3" borderId="16" xfId="0" applyFont="1" applyFill="1" applyBorder="1" applyAlignment="1" applyProtection="1">
      <alignment horizontal="center" vertical="center"/>
      <protection locked="0"/>
    </xf>
    <xf numFmtId="0" fontId="10" fillId="3" borderId="1" xfId="0" applyFont="1" applyFill="1" applyBorder="1" applyAlignment="1" applyProtection="1">
      <alignment horizontal="center" vertical="center"/>
      <protection locked="0"/>
    </xf>
    <xf numFmtId="6" fontId="10" fillId="3" borderId="8" xfId="1" applyFont="1" applyFill="1" applyBorder="1" applyAlignment="1" applyProtection="1">
      <alignment horizontal="center" vertical="center"/>
      <protection locked="0"/>
    </xf>
    <xf numFmtId="6" fontId="10" fillId="3" borderId="10" xfId="1" applyFont="1" applyFill="1" applyBorder="1" applyAlignment="1" applyProtection="1">
      <alignment horizontal="center" vertical="center"/>
      <protection locked="0"/>
    </xf>
    <xf numFmtId="6" fontId="6" fillId="0" borderId="8" xfId="1" applyFont="1" applyBorder="1" applyAlignment="1" applyProtection="1">
      <alignment horizontal="right" vertical="center"/>
    </xf>
    <xf numFmtId="6" fontId="6" fillId="0" borderId="10" xfId="1" applyFont="1" applyBorder="1" applyAlignment="1" applyProtection="1">
      <alignment horizontal="right" vertical="center"/>
    </xf>
    <xf numFmtId="14" fontId="6" fillId="0" borderId="17" xfId="0" applyNumberFormat="1" applyFont="1" applyBorder="1" applyAlignment="1" applyProtection="1">
      <alignment horizontal="center" vertical="center"/>
      <protection locked="0"/>
    </xf>
    <xf numFmtId="14" fontId="6" fillId="0" borderId="10" xfId="0" applyNumberFormat="1" applyFont="1" applyBorder="1" applyAlignment="1" applyProtection="1">
      <alignment horizontal="center" vertical="center"/>
      <protection locked="0"/>
    </xf>
    <xf numFmtId="14" fontId="6" fillId="0" borderId="18" xfId="0" applyNumberFormat="1" applyFont="1" applyBorder="1" applyAlignment="1" applyProtection="1">
      <alignment horizontal="center" vertical="center"/>
      <protection locked="0"/>
    </xf>
    <xf numFmtId="14" fontId="6" fillId="0" borderId="4" xfId="0" applyNumberFormat="1" applyFont="1" applyBorder="1" applyAlignment="1" applyProtection="1">
      <alignment horizontal="center" vertical="center"/>
      <protection locked="0"/>
    </xf>
    <xf numFmtId="14" fontId="6" fillId="0" borderId="22" xfId="0" applyNumberFormat="1" applyFont="1" applyBorder="1" applyAlignment="1" applyProtection="1">
      <alignment horizontal="center" vertical="center"/>
      <protection locked="0"/>
    </xf>
    <xf numFmtId="14" fontId="6" fillId="0" borderId="23" xfId="0" applyNumberFormat="1" applyFont="1" applyBorder="1" applyAlignment="1" applyProtection="1">
      <alignment horizontal="center" vertical="center"/>
      <protection locked="0"/>
    </xf>
    <xf numFmtId="14" fontId="6" fillId="0" borderId="26" xfId="0" applyNumberFormat="1" applyFont="1" applyBorder="1" applyAlignment="1" applyProtection="1">
      <alignment horizontal="center" vertical="center"/>
      <protection locked="0"/>
    </xf>
    <xf numFmtId="14" fontId="6" fillId="0" borderId="27" xfId="0" applyNumberFormat="1" applyFont="1" applyBorder="1" applyAlignment="1" applyProtection="1">
      <alignment horizontal="center" vertical="center"/>
      <protection locked="0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0" xfId="0" applyFont="1" applyFill="1" applyBorder="1" applyAlignment="1" applyProtection="1">
      <alignment horizontal="center" vertical="center"/>
      <protection locked="0"/>
    </xf>
    <xf numFmtId="0" fontId="11" fillId="3" borderId="21" xfId="0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Protection="1">
      <alignment vertical="center"/>
      <protection locked="0"/>
    </xf>
    <xf numFmtId="0" fontId="6" fillId="0" borderId="3" xfId="0" applyFont="1" applyBorder="1" applyProtection="1">
      <alignment vertical="center"/>
      <protection locked="0"/>
    </xf>
    <xf numFmtId="0" fontId="6" fillId="0" borderId="4" xfId="0" applyFont="1" applyBorder="1" applyProtection="1">
      <alignment vertical="center"/>
      <protection locked="0"/>
    </xf>
    <xf numFmtId="0" fontId="6" fillId="0" borderId="5" xfId="0" applyFont="1" applyBorder="1" applyProtection="1">
      <alignment vertical="center"/>
      <protection locked="0"/>
    </xf>
    <xf numFmtId="0" fontId="6" fillId="0" borderId="6" xfId="0" applyFont="1" applyBorder="1" applyProtection="1">
      <alignment vertical="center"/>
      <protection locked="0"/>
    </xf>
    <xf numFmtId="0" fontId="6" fillId="0" borderId="7" xfId="0" applyFont="1" applyBorder="1" applyProtection="1">
      <alignment vertical="center"/>
      <protection locked="0"/>
    </xf>
    <xf numFmtId="176" fontId="6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0" fontId="8" fillId="0" borderId="0" xfId="0" applyFont="1" applyProtection="1">
      <alignment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6" fillId="0" borderId="6" xfId="0" applyFont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vertical="center" wrapText="1"/>
      <protection locked="0"/>
    </xf>
    <xf numFmtId="0" fontId="6" fillId="0" borderId="0" xfId="0" applyFont="1" applyProtection="1">
      <alignment vertical="center"/>
      <protection locked="0"/>
    </xf>
    <xf numFmtId="3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horizontal="left" vertical="center"/>
      <protection locked="0"/>
    </xf>
    <xf numFmtId="0" fontId="11" fillId="3" borderId="1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 applyProtection="1">
      <alignment horizontal="center" vertical="center"/>
      <protection locked="0"/>
    </xf>
    <xf numFmtId="0" fontId="11" fillId="3" borderId="14" xfId="0" applyFont="1" applyFill="1" applyBorder="1" applyAlignment="1" applyProtection="1">
      <alignment horizontal="center" vertical="center"/>
      <protection locked="0"/>
    </xf>
    <xf numFmtId="0" fontId="9" fillId="3" borderId="0" xfId="0" applyFont="1" applyFill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left" vertical="center"/>
      <protection locked="0"/>
    </xf>
    <xf numFmtId="177" fontId="6" fillId="0" borderId="0" xfId="0" applyNumberFormat="1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178" fontId="3" fillId="0" borderId="0" xfId="0" applyNumberFormat="1" applyFont="1" applyAlignment="1" applyProtection="1">
      <alignment horizontal="left" vertical="center"/>
      <protection locked="0"/>
    </xf>
    <xf numFmtId="0" fontId="11" fillId="3" borderId="17" xfId="0" applyFont="1" applyFill="1" applyBorder="1" applyAlignment="1" applyProtection="1">
      <alignment horizontal="center" vertical="center"/>
      <protection locked="0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6" fontId="7" fillId="0" borderId="18" xfId="0" applyNumberFormat="1" applyFont="1" applyBorder="1" applyAlignment="1">
      <alignment horizontal="right" vertical="center"/>
    </xf>
    <xf numFmtId="6" fontId="7" fillId="0" borderId="3" xfId="0" applyNumberFormat="1" applyFont="1" applyBorder="1" applyAlignment="1">
      <alignment horizontal="right" vertical="center"/>
    </xf>
    <xf numFmtId="6" fontId="7" fillId="0" borderId="4" xfId="0" applyNumberFormat="1" applyFont="1" applyBorder="1" applyAlignment="1">
      <alignment horizontal="right" vertical="center"/>
    </xf>
    <xf numFmtId="6" fontId="7" fillId="0" borderId="19" xfId="0" applyNumberFormat="1" applyFont="1" applyBorder="1" applyAlignment="1">
      <alignment horizontal="right" vertical="center"/>
    </xf>
    <xf numFmtId="6" fontId="7" fillId="0" borderId="6" xfId="0" applyNumberFormat="1" applyFont="1" applyBorder="1" applyAlignment="1">
      <alignment horizontal="right" vertical="center"/>
    </xf>
    <xf numFmtId="6" fontId="7" fillId="0" borderId="7" xfId="0" applyNumberFormat="1" applyFont="1" applyBorder="1" applyAlignment="1">
      <alignment horizontal="right" vertical="center"/>
    </xf>
    <xf numFmtId="0" fontId="10" fillId="3" borderId="17" xfId="0" applyFont="1" applyFill="1" applyBorder="1" applyAlignment="1" applyProtection="1">
      <alignment horizontal="left" vertical="top"/>
      <protection locked="0"/>
    </xf>
    <xf numFmtId="0" fontId="10" fillId="3" borderId="9" xfId="0" applyFont="1" applyFill="1" applyBorder="1" applyAlignment="1" applyProtection="1">
      <alignment horizontal="left" vertical="top"/>
      <protection locked="0"/>
    </xf>
    <xf numFmtId="0" fontId="10" fillId="3" borderId="10" xfId="0" applyFont="1" applyFill="1" applyBorder="1" applyAlignment="1" applyProtection="1">
      <alignment horizontal="left" vertical="top"/>
      <protection locked="0"/>
    </xf>
  </cellXfs>
  <cellStyles count="3">
    <cellStyle name="パーセント" xfId="2" builtinId="5"/>
    <cellStyle name="通貨" xfId="1" builtinId="7"/>
    <cellStyle name="標準" xfId="0" builtinId="0"/>
  </cellStyles>
  <dxfs count="0"/>
  <tableStyles count="0" defaultTableStyle="TableStyleMedium2" defaultPivotStyle="PivotStyleLight16"/>
  <colors>
    <mruColors>
      <color rgb="FF2864F0"/>
      <color rgb="FFE9E7E7"/>
      <color rgb="FFF8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684189</xdr:colOff>
      <xdr:row>5</xdr:row>
      <xdr:rowOff>358399</xdr:rowOff>
    </xdr:from>
    <xdr:to>
      <xdr:col>15</xdr:col>
      <xdr:colOff>3832</xdr:colOff>
      <xdr:row>9</xdr:row>
      <xdr:rowOff>90972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3989" y="2244349"/>
          <a:ext cx="5443" cy="12565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684189</xdr:colOff>
      <xdr:row>5</xdr:row>
      <xdr:rowOff>358399</xdr:rowOff>
    </xdr:from>
    <xdr:to>
      <xdr:col>15</xdr:col>
      <xdr:colOff>3832</xdr:colOff>
      <xdr:row>9</xdr:row>
      <xdr:rowOff>90972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3989" y="2244349"/>
          <a:ext cx="5443" cy="1256573"/>
        </a:xfrm>
        <a:prstGeom prst="rect">
          <a:avLst/>
        </a:prstGeom>
      </xdr:spPr>
    </xdr:pic>
    <xdr:clientData/>
  </xdr:twoCellAnchor>
  <xdr:twoCellAnchor editAs="oneCell">
    <xdr:from>
      <xdr:col>14</xdr:col>
      <xdr:colOff>684189</xdr:colOff>
      <xdr:row>5</xdr:row>
      <xdr:rowOff>358399</xdr:rowOff>
    </xdr:from>
    <xdr:to>
      <xdr:col>15</xdr:col>
      <xdr:colOff>3832</xdr:colOff>
      <xdr:row>9</xdr:row>
      <xdr:rowOff>90972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01D65D8-3FE1-4D8A-8CB2-30CDF9ABF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99689" y="1806199"/>
          <a:ext cx="5443" cy="125657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684189</xdr:colOff>
      <xdr:row>5</xdr:row>
      <xdr:rowOff>358399</xdr:rowOff>
    </xdr:from>
    <xdr:to>
      <xdr:col>15</xdr:col>
      <xdr:colOff>3832</xdr:colOff>
      <xdr:row>9</xdr:row>
      <xdr:rowOff>90972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3989" y="2244349"/>
          <a:ext cx="5443" cy="1256573"/>
        </a:xfrm>
        <a:prstGeom prst="rect">
          <a:avLst/>
        </a:prstGeom>
      </xdr:spPr>
    </xdr:pic>
    <xdr:clientData/>
  </xdr:twoCellAnchor>
  <xdr:twoCellAnchor editAs="oneCell">
    <xdr:from>
      <xdr:col>14</xdr:col>
      <xdr:colOff>684189</xdr:colOff>
      <xdr:row>5</xdr:row>
      <xdr:rowOff>358399</xdr:rowOff>
    </xdr:from>
    <xdr:to>
      <xdr:col>15</xdr:col>
      <xdr:colOff>3832</xdr:colOff>
      <xdr:row>9</xdr:row>
      <xdr:rowOff>90972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FACC299-D888-4962-A394-60E29C02B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99689" y="1806199"/>
          <a:ext cx="5443" cy="125657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684189</xdr:colOff>
      <xdr:row>5</xdr:row>
      <xdr:rowOff>358399</xdr:rowOff>
    </xdr:from>
    <xdr:to>
      <xdr:col>15</xdr:col>
      <xdr:colOff>3832</xdr:colOff>
      <xdr:row>9</xdr:row>
      <xdr:rowOff>90972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3989" y="2244349"/>
          <a:ext cx="5443" cy="1256573"/>
        </a:xfrm>
        <a:prstGeom prst="rect">
          <a:avLst/>
        </a:prstGeom>
      </xdr:spPr>
    </xdr:pic>
    <xdr:clientData/>
  </xdr:twoCellAnchor>
  <xdr:twoCellAnchor editAs="oneCell">
    <xdr:from>
      <xdr:col>14</xdr:col>
      <xdr:colOff>684189</xdr:colOff>
      <xdr:row>5</xdr:row>
      <xdr:rowOff>358399</xdr:rowOff>
    </xdr:from>
    <xdr:to>
      <xdr:col>15</xdr:col>
      <xdr:colOff>3832</xdr:colOff>
      <xdr:row>9</xdr:row>
      <xdr:rowOff>90972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C78E58D-4000-4BED-9E9D-3CB48D59B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99689" y="1806199"/>
          <a:ext cx="5443" cy="125657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684189</xdr:colOff>
      <xdr:row>5</xdr:row>
      <xdr:rowOff>358399</xdr:rowOff>
    </xdr:from>
    <xdr:to>
      <xdr:col>15</xdr:col>
      <xdr:colOff>3832</xdr:colOff>
      <xdr:row>9</xdr:row>
      <xdr:rowOff>90972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3989" y="2244349"/>
          <a:ext cx="5443" cy="1256573"/>
        </a:xfrm>
        <a:prstGeom prst="rect">
          <a:avLst/>
        </a:prstGeom>
      </xdr:spPr>
    </xdr:pic>
    <xdr:clientData/>
  </xdr:twoCellAnchor>
  <xdr:twoCellAnchor editAs="oneCell">
    <xdr:from>
      <xdr:col>14</xdr:col>
      <xdr:colOff>684189</xdr:colOff>
      <xdr:row>5</xdr:row>
      <xdr:rowOff>358399</xdr:rowOff>
    </xdr:from>
    <xdr:to>
      <xdr:col>15</xdr:col>
      <xdr:colOff>3832</xdr:colOff>
      <xdr:row>9</xdr:row>
      <xdr:rowOff>90972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B0C3DE2-422C-4BCD-A9AA-71EE0C410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99689" y="1806199"/>
          <a:ext cx="5443" cy="12565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78"/>
  <sheetViews>
    <sheetView topLeftCell="A2" zoomScale="70" zoomScaleNormal="70" workbookViewId="0">
      <selection activeCell="F51" sqref="F51"/>
    </sheetView>
  </sheetViews>
  <sheetFormatPr defaultColWidth="0" defaultRowHeight="17.25" customHeight="1" zeroHeight="1" x14ac:dyDescent="0.4"/>
  <cols>
    <col min="1" max="1" width="2" style="5" customWidth="1"/>
    <col min="2" max="2" width="10.44140625" style="5" customWidth="1"/>
    <col min="3" max="3" width="6" style="5" customWidth="1"/>
    <col min="4" max="8" width="8" style="5" customWidth="1"/>
    <col min="9" max="10" width="7.44140625" style="5" customWidth="1"/>
    <col min="11" max="11" width="9.44140625" style="5" customWidth="1"/>
    <col min="12" max="13" width="8" style="5" customWidth="1"/>
    <col min="14" max="14" width="14.5546875" style="5" bestFit="1" customWidth="1"/>
    <col min="15" max="17" width="8" style="5" customWidth="1"/>
    <col min="18" max="19" width="8" style="5" hidden="1" customWidth="1"/>
    <col min="20" max="20" width="1.88671875" style="5" customWidth="1"/>
    <col min="21" max="22" width="10.6640625" style="5" customWidth="1"/>
    <col min="23" max="23" width="12.21875" style="5" bestFit="1" customWidth="1"/>
    <col min="24" max="31" width="10.6640625" style="5" customWidth="1"/>
    <col min="32" max="32" width="0" style="5" hidden="1" customWidth="1"/>
    <col min="33" max="16384" width="10.6640625" style="5" hidden="1"/>
  </cols>
  <sheetData>
    <row r="1" spans="1:31" s="1" customFormat="1" hidden="1" x14ac:dyDescent="0.4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s="1" customFormat="1" ht="53.1" customHeight="1" x14ac:dyDescent="0.4">
      <c r="A2" s="8"/>
      <c r="B2" s="86" t="s">
        <v>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"/>
      <c r="S2" s="8"/>
      <c r="T2" s="8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 s="1" customFormat="1" hidden="1" x14ac:dyDescent="0.4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 spans="1:31" s="1" customFormat="1" ht="30.95" customHeight="1" x14ac:dyDescent="0.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21" t="s">
        <v>1</v>
      </c>
      <c r="O4" s="87">
        <v>46234</v>
      </c>
      <c r="P4" s="87"/>
      <c r="Q4" s="87"/>
      <c r="R4" s="8"/>
      <c r="S4" s="8"/>
      <c r="T4" s="8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 spans="1:31" s="1" customFormat="1" ht="30.95" customHeight="1" x14ac:dyDescent="0.4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21" t="s">
        <v>3</v>
      </c>
      <c r="O5" s="88">
        <v>2370001017442</v>
      </c>
      <c r="P5" s="88"/>
      <c r="Q5" s="88"/>
      <c r="R5" s="8"/>
      <c r="S5" s="8"/>
      <c r="T5" s="8"/>
      <c r="U5" s="5"/>
      <c r="V5" s="5"/>
      <c r="W5" s="5"/>
      <c r="X5" s="5"/>
      <c r="Y5" s="5"/>
      <c r="Z5" s="5"/>
      <c r="AA5" s="5"/>
      <c r="AB5" s="5"/>
      <c r="AC5" s="5"/>
      <c r="AD5" s="5"/>
      <c r="AE5" s="5"/>
    </row>
    <row r="6" spans="1:31" s="1" customFormat="1" ht="30.95" customHeight="1" x14ac:dyDescent="0.4">
      <c r="A6" s="8"/>
      <c r="B6" s="89" t="s">
        <v>29</v>
      </c>
      <c r="C6" s="89"/>
      <c r="D6" s="89"/>
      <c r="E6" s="89"/>
      <c r="F6" s="89"/>
      <c r="G6" s="89"/>
      <c r="H6" s="89"/>
      <c r="I6" s="89"/>
      <c r="J6" s="18" t="s">
        <v>24</v>
      </c>
      <c r="M6" s="8"/>
      <c r="N6" s="21" t="s">
        <v>23</v>
      </c>
      <c r="O6" s="90"/>
      <c r="P6" s="90"/>
      <c r="Q6" s="90"/>
      <c r="R6" s="8"/>
      <c r="S6" s="8"/>
      <c r="T6" s="8"/>
      <c r="U6" s="5"/>
      <c r="V6" s="5"/>
      <c r="W6" s="5"/>
      <c r="X6" s="5"/>
      <c r="Y6" s="5"/>
      <c r="Z6" s="5"/>
      <c r="AA6" s="5"/>
      <c r="AB6" s="5"/>
      <c r="AC6" s="5"/>
      <c r="AD6" s="5"/>
      <c r="AE6" s="5"/>
    </row>
    <row r="7" spans="1:31" s="1" customFormat="1" ht="26.1" customHeight="1" x14ac:dyDescent="0.4">
      <c r="A7" s="8"/>
      <c r="B7" s="72"/>
      <c r="C7" s="72"/>
      <c r="D7" s="72"/>
      <c r="E7" s="72"/>
      <c r="F7" s="72"/>
      <c r="G7" s="72"/>
      <c r="H7" s="72"/>
      <c r="I7" s="72"/>
      <c r="J7" s="72"/>
      <c r="K7" s="8"/>
      <c r="L7" s="8"/>
      <c r="M7" s="8"/>
      <c r="N7" s="9"/>
      <c r="O7" s="10"/>
      <c r="P7" s="10"/>
      <c r="Q7" s="10"/>
      <c r="R7" s="8"/>
      <c r="S7" s="8"/>
      <c r="T7" s="8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r="8" spans="1:31" s="1" customFormat="1" ht="33.950000000000003" customHeight="1" x14ac:dyDescent="0.4">
      <c r="A8" s="8"/>
      <c r="B8" s="73"/>
      <c r="C8" s="73"/>
      <c r="D8" s="73"/>
      <c r="E8" s="73"/>
      <c r="F8" s="73"/>
      <c r="G8" s="73"/>
      <c r="H8" s="73"/>
      <c r="I8" s="73"/>
      <c r="J8" s="73"/>
      <c r="K8" s="8"/>
      <c r="L8" s="8"/>
      <c r="M8" s="74" t="s">
        <v>30</v>
      </c>
      <c r="N8" s="74"/>
      <c r="O8" s="74"/>
      <c r="P8" s="74"/>
      <c r="Q8" s="74"/>
      <c r="R8" s="8"/>
      <c r="S8" s="8"/>
      <c r="T8" s="8"/>
      <c r="U8" s="5"/>
      <c r="V8" s="5"/>
      <c r="W8" s="5"/>
      <c r="X8" s="5"/>
      <c r="Y8" s="5"/>
      <c r="Z8" s="5"/>
      <c r="AA8" s="5"/>
      <c r="AB8" s="5"/>
      <c r="AC8" s="5"/>
      <c r="AD8" s="5"/>
      <c r="AE8" s="5"/>
    </row>
    <row r="9" spans="1:31" s="1" customFormat="1" ht="30" customHeight="1" x14ac:dyDescent="0.4">
      <c r="A9" s="8"/>
      <c r="B9" s="75"/>
      <c r="C9" s="75"/>
      <c r="D9" s="75"/>
      <c r="E9" s="75"/>
      <c r="F9" s="75"/>
      <c r="G9" s="75"/>
      <c r="H9" s="75"/>
      <c r="I9" s="75"/>
      <c r="J9" s="75"/>
      <c r="K9" s="8"/>
      <c r="L9" s="8"/>
      <c r="M9" s="72" t="s">
        <v>33</v>
      </c>
      <c r="N9" s="72"/>
      <c r="O9" s="72"/>
      <c r="P9" s="72"/>
      <c r="Q9" s="72"/>
      <c r="R9" s="8"/>
      <c r="S9" s="8"/>
      <c r="T9" s="8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 spans="1:31" s="1" customFormat="1" ht="38.1" customHeight="1" x14ac:dyDescent="0.4">
      <c r="A10" s="8"/>
      <c r="B10" s="76" t="s">
        <v>5</v>
      </c>
      <c r="C10" s="76"/>
      <c r="D10" s="76"/>
      <c r="E10" s="76"/>
      <c r="F10" s="76"/>
      <c r="G10" s="76"/>
      <c r="H10" s="76"/>
      <c r="I10" s="76"/>
      <c r="J10" s="76"/>
      <c r="K10" s="12"/>
      <c r="L10" s="12"/>
      <c r="M10" s="11" t="s">
        <v>2</v>
      </c>
      <c r="N10" s="77" t="s">
        <v>34</v>
      </c>
      <c r="O10" s="78"/>
      <c r="P10" s="78"/>
      <c r="Q10" s="78"/>
      <c r="R10" s="8"/>
      <c r="S10" s="8"/>
      <c r="T10" s="8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</row>
    <row r="11" spans="1:31" s="1" customFormat="1" ht="30" customHeight="1" x14ac:dyDescent="0.4">
      <c r="A11" s="8"/>
      <c r="B11" s="91" t="s">
        <v>6</v>
      </c>
      <c r="C11" s="84"/>
      <c r="D11" s="84"/>
      <c r="E11" s="84"/>
      <c r="F11" s="84"/>
      <c r="G11" s="84"/>
      <c r="H11" s="84"/>
      <c r="I11" s="84"/>
      <c r="J11" s="92"/>
      <c r="K11" s="8"/>
      <c r="L11" s="8"/>
      <c r="M11" s="11" t="s">
        <v>4</v>
      </c>
      <c r="N11" s="78" t="s">
        <v>35</v>
      </c>
      <c r="O11" s="78"/>
      <c r="P11" s="78"/>
      <c r="Q11" s="78"/>
      <c r="R11" s="8"/>
      <c r="S11" s="8"/>
      <c r="T11" s="8"/>
      <c r="U11" s="5"/>
      <c r="V11" s="5"/>
      <c r="W11" s="20"/>
      <c r="X11" s="5"/>
      <c r="Y11" s="5"/>
      <c r="Z11" s="5"/>
      <c r="AA11" s="5"/>
      <c r="AB11" s="5"/>
      <c r="AC11" s="5"/>
      <c r="AD11" s="5"/>
      <c r="AE11" s="5"/>
    </row>
    <row r="12" spans="1:31" s="1" customFormat="1" ht="30" customHeight="1" x14ac:dyDescent="0.4">
      <c r="A12" s="8"/>
      <c r="B12" s="93">
        <f>O47</f>
        <v>76450</v>
      </c>
      <c r="C12" s="94"/>
      <c r="D12" s="94"/>
      <c r="E12" s="94"/>
      <c r="F12" s="94"/>
      <c r="G12" s="94"/>
      <c r="H12" s="94"/>
      <c r="I12" s="94"/>
      <c r="J12" s="95"/>
      <c r="K12" s="8"/>
      <c r="L12" s="8"/>
      <c r="M12" s="11" t="s">
        <v>19</v>
      </c>
      <c r="N12" s="78" t="s">
        <v>36</v>
      </c>
      <c r="O12" s="78"/>
      <c r="P12" s="78"/>
      <c r="Q12" s="78"/>
      <c r="R12" s="8"/>
      <c r="S12" s="8"/>
      <c r="T12" s="8"/>
      <c r="U12" s="5"/>
      <c r="V12" s="23"/>
      <c r="W12" s="5"/>
      <c r="X12" s="5"/>
      <c r="Y12" s="5"/>
      <c r="Z12" s="5"/>
      <c r="AA12" s="5"/>
      <c r="AB12" s="5"/>
      <c r="AC12" s="5"/>
      <c r="AD12" s="5"/>
      <c r="AE12" s="5"/>
    </row>
    <row r="13" spans="1:31" s="1" customFormat="1" ht="32.1" customHeight="1" x14ac:dyDescent="0.4">
      <c r="A13" s="8"/>
      <c r="B13" s="96"/>
      <c r="C13" s="97"/>
      <c r="D13" s="97"/>
      <c r="E13" s="97"/>
      <c r="F13" s="97"/>
      <c r="G13" s="97"/>
      <c r="H13" s="97"/>
      <c r="I13" s="97"/>
      <c r="J13" s="98"/>
      <c r="K13" s="8"/>
      <c r="L13" s="8"/>
      <c r="M13" s="8"/>
      <c r="N13" s="8"/>
      <c r="O13" s="8"/>
      <c r="P13" s="8"/>
      <c r="Q13" s="8"/>
      <c r="R13" s="8"/>
      <c r="S13" s="8"/>
      <c r="T13" s="8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 spans="1:31" s="1" customFormat="1" ht="32.1" customHeight="1" x14ac:dyDescent="0.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 spans="1:31" s="1" customFormat="1" ht="24" customHeight="1" x14ac:dyDescent="0.4">
      <c r="A15" s="8"/>
      <c r="B15" s="64" t="s">
        <v>7</v>
      </c>
      <c r="C15" s="66" t="s">
        <v>31</v>
      </c>
      <c r="D15" s="67"/>
      <c r="E15" s="67"/>
      <c r="F15" s="67"/>
      <c r="G15" s="67"/>
      <c r="H15" s="6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 spans="1:31" s="1" customFormat="1" ht="24" customHeight="1" x14ac:dyDescent="0.4">
      <c r="A16" s="8"/>
      <c r="B16" s="65"/>
      <c r="C16" s="69" t="s">
        <v>32</v>
      </c>
      <c r="D16" s="70"/>
      <c r="E16" s="70"/>
      <c r="F16" s="70"/>
      <c r="G16" s="70"/>
      <c r="H16" s="71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 spans="1:31" s="1" customFormat="1" ht="24" customHeight="1" x14ac:dyDescent="0.4">
      <c r="A17" s="8"/>
      <c r="B17" s="15" t="s">
        <v>8</v>
      </c>
      <c r="C17" s="79">
        <v>46275</v>
      </c>
      <c r="D17" s="80"/>
      <c r="E17" s="80"/>
      <c r="F17" s="80"/>
      <c r="G17" s="80"/>
      <c r="H17" s="81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</row>
    <row r="18" spans="1:31" s="1" customFormat="1" ht="24" customHeight="1" x14ac:dyDescent="0.4">
      <c r="A18" s="8"/>
      <c r="B18" s="13" t="s">
        <v>17</v>
      </c>
      <c r="C18" s="13"/>
      <c r="D18" s="13"/>
      <c r="E18" s="13"/>
      <c r="F18" s="13"/>
      <c r="G18" s="13"/>
      <c r="H18" s="13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1" s="1" customFormat="1" ht="24" customHeight="1" x14ac:dyDescent="0.4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1" s="1" customFormat="1" ht="24" customHeight="1" x14ac:dyDescent="0.4">
      <c r="A20" s="8"/>
      <c r="B20" s="82" t="s">
        <v>20</v>
      </c>
      <c r="C20" s="63"/>
      <c r="D20" s="83" t="s">
        <v>21</v>
      </c>
      <c r="E20" s="84"/>
      <c r="F20" s="84"/>
      <c r="G20" s="84"/>
      <c r="H20" s="84"/>
      <c r="I20" s="84"/>
      <c r="J20" s="85"/>
      <c r="K20" s="17" t="s">
        <v>18</v>
      </c>
      <c r="L20" s="16" t="s">
        <v>11</v>
      </c>
      <c r="M20" s="16" t="s">
        <v>10</v>
      </c>
      <c r="N20" s="16" t="s">
        <v>9</v>
      </c>
      <c r="O20" s="63" t="s">
        <v>37</v>
      </c>
      <c r="P20" s="63"/>
      <c r="Q20" s="8"/>
      <c r="R20" s="8"/>
      <c r="S20" s="8"/>
      <c r="T20" s="8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1" s="1" customFormat="1" ht="24" customHeight="1" x14ac:dyDescent="0.4">
      <c r="A21" s="8"/>
      <c r="B21" s="57">
        <v>46198</v>
      </c>
      <c r="C21" s="58"/>
      <c r="D21" s="24" t="s">
        <v>25</v>
      </c>
      <c r="E21" s="25"/>
      <c r="F21" s="25"/>
      <c r="G21" s="25"/>
      <c r="H21" s="25"/>
      <c r="I21" s="25"/>
      <c r="J21" s="25"/>
      <c r="K21" s="6" t="s">
        <v>22</v>
      </c>
      <c r="L21" s="3">
        <v>1</v>
      </c>
      <c r="M21" s="4"/>
      <c r="N21" s="19" t="str">
        <f>IF(ISBLANK(B21),"",IF(K21="","10%","8%"))</f>
        <v>8%</v>
      </c>
      <c r="O21" s="53">
        <v>12218</v>
      </c>
      <c r="P21" s="54"/>
      <c r="Q21" s="8"/>
      <c r="R21" s="8"/>
      <c r="S21" s="8"/>
      <c r="T21" s="8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1" s="1" customFormat="1" ht="24" customHeight="1" x14ac:dyDescent="0.4">
      <c r="A22" s="8"/>
      <c r="B22" s="57">
        <v>46198</v>
      </c>
      <c r="C22" s="58"/>
      <c r="D22" s="24" t="s">
        <v>25</v>
      </c>
      <c r="E22" s="25"/>
      <c r="F22" s="25"/>
      <c r="G22" s="25"/>
      <c r="H22" s="25"/>
      <c r="I22" s="25"/>
      <c r="J22" s="26"/>
      <c r="K22" s="6"/>
      <c r="L22" s="3">
        <v>1</v>
      </c>
      <c r="M22" s="4"/>
      <c r="N22" s="19" t="str">
        <f>IF(ISBLANK(B22),"",IF(K22="","10%","8%"))</f>
        <v>10%</v>
      </c>
      <c r="O22" s="53">
        <v>550</v>
      </c>
      <c r="P22" s="54"/>
      <c r="Q22" s="8"/>
      <c r="R22" s="8"/>
      <c r="S22" s="8"/>
      <c r="T22" s="8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1" s="1" customFormat="1" ht="24" customHeight="1" x14ac:dyDescent="0.4">
      <c r="A23" s="8"/>
      <c r="B23" s="57">
        <v>46203</v>
      </c>
      <c r="C23" s="58"/>
      <c r="D23" s="24" t="s">
        <v>25</v>
      </c>
      <c r="E23" s="25"/>
      <c r="F23" s="25"/>
      <c r="G23" s="25"/>
      <c r="H23" s="25"/>
      <c r="I23" s="25"/>
      <c r="J23" s="26"/>
      <c r="K23" s="6" t="s">
        <v>22</v>
      </c>
      <c r="L23" s="3">
        <v>1</v>
      </c>
      <c r="M23" s="4"/>
      <c r="N23" s="19">
        <v>0.08</v>
      </c>
      <c r="O23" s="53">
        <v>12653</v>
      </c>
      <c r="P23" s="54"/>
      <c r="Q23" s="8"/>
      <c r="R23" s="8"/>
      <c r="S23" s="8"/>
      <c r="T23" s="8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1" s="1" customFormat="1" ht="24" customHeight="1" x14ac:dyDescent="0.4">
      <c r="A24" s="8"/>
      <c r="B24" s="57">
        <v>46203</v>
      </c>
      <c r="C24" s="58"/>
      <c r="D24" s="24" t="s">
        <v>25</v>
      </c>
      <c r="E24" s="25"/>
      <c r="F24" s="25"/>
      <c r="G24" s="25"/>
      <c r="H24" s="25"/>
      <c r="I24" s="25"/>
      <c r="J24" s="26"/>
      <c r="K24" s="6"/>
      <c r="L24" s="3">
        <v>1</v>
      </c>
      <c r="M24" s="4"/>
      <c r="N24" s="19">
        <v>0.1</v>
      </c>
      <c r="O24" s="53">
        <v>550</v>
      </c>
      <c r="P24" s="54"/>
      <c r="Q24" s="8"/>
      <c r="R24" s="8"/>
      <c r="S24" s="8"/>
      <c r="T24" s="8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1" s="1" customFormat="1" ht="24" customHeight="1" x14ac:dyDescent="0.4">
      <c r="A25" s="8"/>
      <c r="B25" s="57">
        <v>46205</v>
      </c>
      <c r="C25" s="58"/>
      <c r="D25" s="24" t="s">
        <v>25</v>
      </c>
      <c r="E25" s="25"/>
      <c r="F25" s="25"/>
      <c r="G25" s="25"/>
      <c r="H25" s="25"/>
      <c r="I25" s="25"/>
      <c r="J25" s="26"/>
      <c r="K25" s="6" t="s">
        <v>22</v>
      </c>
      <c r="L25" s="3">
        <v>1</v>
      </c>
      <c r="M25" s="4"/>
      <c r="N25" s="19">
        <v>0.08</v>
      </c>
      <c r="O25" s="53">
        <v>5098</v>
      </c>
      <c r="P25" s="54"/>
      <c r="Q25" s="8"/>
      <c r="R25" s="8"/>
      <c r="S25" s="8"/>
      <c r="T25" s="8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1" s="1" customFormat="1" ht="24" customHeight="1" x14ac:dyDescent="0.4">
      <c r="A26" s="8"/>
      <c r="B26" s="57">
        <v>46205</v>
      </c>
      <c r="C26" s="58"/>
      <c r="D26" s="24" t="s">
        <v>25</v>
      </c>
      <c r="E26" s="25"/>
      <c r="F26" s="25"/>
      <c r="G26" s="25"/>
      <c r="H26" s="25"/>
      <c r="I26" s="25"/>
      <c r="J26" s="26"/>
      <c r="K26" s="6"/>
      <c r="L26" s="3">
        <v>1</v>
      </c>
      <c r="M26" s="4"/>
      <c r="N26" s="19">
        <v>0.1</v>
      </c>
      <c r="O26" s="53">
        <v>550</v>
      </c>
      <c r="P26" s="54"/>
      <c r="Q26" s="8"/>
      <c r="R26" s="8"/>
      <c r="S26" s="8"/>
      <c r="T26" s="8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1" s="1" customFormat="1" ht="24" customHeight="1" x14ac:dyDescent="0.4">
      <c r="A27" s="8"/>
      <c r="B27" s="57">
        <v>46207</v>
      </c>
      <c r="C27" s="58"/>
      <c r="D27" s="24" t="s">
        <v>25</v>
      </c>
      <c r="E27" s="25"/>
      <c r="F27" s="25"/>
      <c r="G27" s="25"/>
      <c r="H27" s="25"/>
      <c r="I27" s="25"/>
      <c r="J27" s="26"/>
      <c r="K27" s="6" t="s">
        <v>22</v>
      </c>
      <c r="L27" s="3">
        <v>1</v>
      </c>
      <c r="M27" s="4"/>
      <c r="N27" s="19">
        <v>0.08</v>
      </c>
      <c r="O27" s="53">
        <v>7119</v>
      </c>
      <c r="P27" s="54"/>
      <c r="Q27" s="8"/>
      <c r="R27" s="8"/>
      <c r="S27" s="8"/>
      <c r="T27" s="8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1:31" s="1" customFormat="1" ht="24" customHeight="1" x14ac:dyDescent="0.4">
      <c r="A28" s="8"/>
      <c r="B28" s="57">
        <v>46207</v>
      </c>
      <c r="C28" s="58"/>
      <c r="D28" s="24" t="s">
        <v>25</v>
      </c>
      <c r="E28" s="25"/>
      <c r="F28" s="25"/>
      <c r="G28" s="25"/>
      <c r="H28" s="25"/>
      <c r="I28" s="25"/>
      <c r="J28" s="26"/>
      <c r="K28" s="6"/>
      <c r="L28" s="3">
        <v>1</v>
      </c>
      <c r="M28" s="4"/>
      <c r="N28" s="19">
        <v>0.1</v>
      </c>
      <c r="O28" s="53">
        <v>550</v>
      </c>
      <c r="P28" s="54"/>
      <c r="Q28" s="8"/>
      <c r="R28" s="8"/>
      <c r="S28" s="8"/>
      <c r="T28" s="8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1" s="1" customFormat="1" ht="24" customHeight="1" x14ac:dyDescent="0.4">
      <c r="A29" s="8"/>
      <c r="B29" s="57">
        <v>46212</v>
      </c>
      <c r="C29" s="58"/>
      <c r="D29" s="24" t="s">
        <v>25</v>
      </c>
      <c r="E29" s="25"/>
      <c r="F29" s="25"/>
      <c r="G29" s="25"/>
      <c r="H29" s="25"/>
      <c r="I29" s="25"/>
      <c r="J29" s="26"/>
      <c r="K29" s="6" t="s">
        <v>22</v>
      </c>
      <c r="L29" s="3">
        <v>1</v>
      </c>
      <c r="M29" s="4"/>
      <c r="N29" s="19">
        <v>0.08</v>
      </c>
      <c r="O29" s="53">
        <v>8871</v>
      </c>
      <c r="P29" s="54"/>
      <c r="Q29" s="8"/>
      <c r="R29" s="8"/>
      <c r="S29" s="8"/>
      <c r="T29" s="8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1" s="1" customFormat="1" ht="24" customHeight="1" x14ac:dyDescent="0.4">
      <c r="A30" s="8"/>
      <c r="B30" s="57">
        <v>46212</v>
      </c>
      <c r="C30" s="58"/>
      <c r="D30" s="24" t="s">
        <v>25</v>
      </c>
      <c r="E30" s="25"/>
      <c r="F30" s="25"/>
      <c r="G30" s="25"/>
      <c r="H30" s="25"/>
      <c r="I30" s="25"/>
      <c r="J30" s="26"/>
      <c r="K30" s="2"/>
      <c r="L30" s="3">
        <v>1</v>
      </c>
      <c r="M30" s="4"/>
      <c r="N30" s="19">
        <v>0.1</v>
      </c>
      <c r="O30" s="53">
        <v>550</v>
      </c>
      <c r="P30" s="54"/>
      <c r="Q30" s="8"/>
      <c r="R30" s="8"/>
      <c r="S30" s="8"/>
      <c r="T30" s="8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1" s="1" customFormat="1" ht="24" customHeight="1" x14ac:dyDescent="0.4">
      <c r="A31" s="8"/>
      <c r="B31" s="57">
        <v>46217</v>
      </c>
      <c r="C31" s="58"/>
      <c r="D31" s="24" t="s">
        <v>25</v>
      </c>
      <c r="E31" s="25"/>
      <c r="F31" s="25"/>
      <c r="G31" s="25"/>
      <c r="H31" s="25"/>
      <c r="I31" s="25"/>
      <c r="J31" s="26"/>
      <c r="K31" s="2" t="s">
        <v>22</v>
      </c>
      <c r="L31" s="3">
        <v>1</v>
      </c>
      <c r="M31" s="4"/>
      <c r="N31" s="19">
        <v>0.08</v>
      </c>
      <c r="O31" s="53">
        <v>15825</v>
      </c>
      <c r="P31" s="54"/>
      <c r="Q31" s="8"/>
      <c r="R31" s="8"/>
      <c r="S31" s="8"/>
      <c r="T31" s="8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1:31" s="1" customFormat="1" ht="24" customHeight="1" x14ac:dyDescent="0.4">
      <c r="A32" s="8"/>
      <c r="B32" s="57">
        <v>46217</v>
      </c>
      <c r="C32" s="58"/>
      <c r="D32" s="24" t="s">
        <v>25</v>
      </c>
      <c r="E32" s="25"/>
      <c r="F32" s="25"/>
      <c r="G32" s="25"/>
      <c r="H32" s="25"/>
      <c r="I32" s="25"/>
      <c r="J32" s="26"/>
      <c r="K32" s="2"/>
      <c r="L32" s="3">
        <v>1</v>
      </c>
      <c r="M32" s="4"/>
      <c r="N32" s="19">
        <v>0.1</v>
      </c>
      <c r="O32" s="53">
        <v>550</v>
      </c>
      <c r="P32" s="54"/>
      <c r="Q32" s="8"/>
      <c r="R32" s="8"/>
      <c r="S32" s="8"/>
      <c r="T32" s="8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spans="1:30" s="1" customFormat="1" ht="24" customHeight="1" x14ac:dyDescent="0.4">
      <c r="A33" s="8"/>
      <c r="B33" s="57">
        <v>46221</v>
      </c>
      <c r="C33" s="58"/>
      <c r="D33" s="24" t="s">
        <v>25</v>
      </c>
      <c r="E33" s="25"/>
      <c r="F33" s="25"/>
      <c r="G33" s="25"/>
      <c r="H33" s="25"/>
      <c r="I33" s="25"/>
      <c r="J33" s="26"/>
      <c r="K33" s="2" t="s">
        <v>22</v>
      </c>
      <c r="L33" s="3">
        <v>1</v>
      </c>
      <c r="M33" s="4"/>
      <c r="N33" s="19">
        <v>0.08</v>
      </c>
      <c r="O33" s="53">
        <v>10816</v>
      </c>
      <c r="P33" s="54"/>
      <c r="Q33" s="8"/>
      <c r="R33" s="8"/>
      <c r="S33" s="8"/>
      <c r="T33" s="8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spans="1:30" s="1" customFormat="1" ht="24" customHeight="1" x14ac:dyDescent="0.4">
      <c r="A34" s="8"/>
      <c r="B34" s="57">
        <v>46221</v>
      </c>
      <c r="C34" s="58"/>
      <c r="D34" s="24" t="s">
        <v>25</v>
      </c>
      <c r="E34" s="25"/>
      <c r="F34" s="25"/>
      <c r="G34" s="25"/>
      <c r="H34" s="25"/>
      <c r="I34" s="25"/>
      <c r="J34" s="26"/>
      <c r="K34" s="2"/>
      <c r="L34" s="3">
        <v>1</v>
      </c>
      <c r="M34" s="4"/>
      <c r="N34" s="19">
        <v>0.1</v>
      </c>
      <c r="O34" s="53">
        <v>550</v>
      </c>
      <c r="P34" s="54"/>
      <c r="Q34" s="8"/>
      <c r="R34" s="8"/>
      <c r="S34" s="8"/>
      <c r="T34" s="8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1:30" s="1" customFormat="1" ht="24" customHeight="1" x14ac:dyDescent="0.4">
      <c r="A35" s="8"/>
      <c r="B35" s="57"/>
      <c r="C35" s="58"/>
      <c r="D35" s="24"/>
      <c r="E35" s="25"/>
      <c r="F35" s="25"/>
      <c r="G35" s="25"/>
      <c r="H35" s="25"/>
      <c r="I35" s="25"/>
      <c r="J35" s="26"/>
      <c r="K35" s="2"/>
      <c r="L35" s="3"/>
      <c r="M35" s="4"/>
      <c r="N35" s="19"/>
      <c r="O35" s="53"/>
      <c r="P35" s="54"/>
      <c r="Q35" s="8"/>
      <c r="R35" s="8"/>
      <c r="S35" s="8"/>
      <c r="T35" s="8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spans="1:30" s="1" customFormat="1" ht="24" customHeight="1" x14ac:dyDescent="0.4">
      <c r="A36" s="8"/>
      <c r="B36" s="57"/>
      <c r="C36" s="58"/>
      <c r="D36" s="24"/>
      <c r="E36" s="25"/>
      <c r="F36" s="25"/>
      <c r="G36" s="25"/>
      <c r="H36" s="25"/>
      <c r="I36" s="25"/>
      <c r="J36" s="26"/>
      <c r="K36" s="2"/>
      <c r="L36" s="3"/>
      <c r="M36" s="4"/>
      <c r="N36" s="19"/>
      <c r="O36" s="53"/>
      <c r="P36" s="54"/>
      <c r="Q36" s="8"/>
      <c r="R36" s="8"/>
      <c r="S36" s="8"/>
      <c r="T36" s="8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1:30" s="1" customFormat="1" ht="24" customHeight="1" x14ac:dyDescent="0.4">
      <c r="A37" s="8"/>
      <c r="B37" s="57"/>
      <c r="C37" s="58"/>
      <c r="D37" s="24"/>
      <c r="E37" s="25"/>
      <c r="F37" s="25"/>
      <c r="G37" s="25"/>
      <c r="H37" s="25"/>
      <c r="I37" s="25"/>
      <c r="J37" s="26"/>
      <c r="K37" s="2"/>
      <c r="L37" s="3"/>
      <c r="M37" s="4"/>
      <c r="N37" s="19"/>
      <c r="O37" s="53"/>
      <c r="P37" s="54"/>
      <c r="Q37" s="8"/>
      <c r="R37" s="8"/>
      <c r="S37" s="8"/>
      <c r="T37" s="8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 s="1" customFormat="1" ht="24" customHeight="1" x14ac:dyDescent="0.4">
      <c r="A38" s="8"/>
      <c r="B38" s="57"/>
      <c r="C38" s="58"/>
      <c r="D38" s="24"/>
      <c r="E38" s="25"/>
      <c r="F38" s="25"/>
      <c r="G38" s="25"/>
      <c r="H38" s="25"/>
      <c r="I38" s="25"/>
      <c r="J38" s="26"/>
      <c r="K38" s="2"/>
      <c r="L38" s="3"/>
      <c r="M38" s="4"/>
      <c r="N38" s="19"/>
      <c r="O38" s="53"/>
      <c r="P38" s="54"/>
      <c r="Q38" s="8"/>
      <c r="R38" s="8"/>
      <c r="S38" s="8"/>
      <c r="T38" s="8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1:30" s="1" customFormat="1" ht="24" customHeight="1" x14ac:dyDescent="0.4">
      <c r="A39" s="8"/>
      <c r="B39" s="57"/>
      <c r="C39" s="58"/>
      <c r="D39" s="24"/>
      <c r="E39" s="25"/>
      <c r="F39" s="25"/>
      <c r="G39" s="25"/>
      <c r="H39" s="25"/>
      <c r="I39" s="25"/>
      <c r="J39" s="26"/>
      <c r="K39" s="2"/>
      <c r="L39" s="3"/>
      <c r="M39" s="4"/>
      <c r="N39" s="19"/>
      <c r="O39" s="53"/>
      <c r="P39" s="54"/>
      <c r="Q39" s="8"/>
      <c r="R39" s="8"/>
      <c r="S39" s="8"/>
      <c r="T39" s="8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30" s="1" customFormat="1" ht="24" customHeight="1" x14ac:dyDescent="0.4">
      <c r="A40" s="8"/>
      <c r="B40" s="57"/>
      <c r="C40" s="58"/>
      <c r="D40" s="24"/>
      <c r="E40" s="25"/>
      <c r="F40" s="25"/>
      <c r="G40" s="25"/>
      <c r="H40" s="25"/>
      <c r="I40" s="25"/>
      <c r="J40" s="26"/>
      <c r="K40" s="2"/>
      <c r="L40" s="3"/>
      <c r="M40" s="4"/>
      <c r="N40" s="19"/>
      <c r="O40" s="53"/>
      <c r="P40" s="54"/>
      <c r="Q40" s="8"/>
      <c r="R40" s="8"/>
      <c r="S40" s="8"/>
      <c r="T40" s="8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1:30" s="1" customFormat="1" ht="24" customHeight="1" x14ac:dyDescent="0.4">
      <c r="A41" s="8"/>
      <c r="B41" s="57"/>
      <c r="C41" s="58"/>
      <c r="D41" s="24"/>
      <c r="E41" s="25"/>
      <c r="F41" s="25"/>
      <c r="G41" s="25"/>
      <c r="H41" s="25"/>
      <c r="I41" s="25"/>
      <c r="J41" s="26"/>
      <c r="K41" s="2"/>
      <c r="L41" s="3"/>
      <c r="M41" s="4"/>
      <c r="N41" s="19"/>
      <c r="O41" s="53"/>
      <c r="P41" s="54"/>
      <c r="Q41" s="8"/>
      <c r="R41" s="8"/>
      <c r="S41" s="8"/>
      <c r="T41" s="8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 s="1" customFormat="1" ht="24" customHeight="1" x14ac:dyDescent="0.4">
      <c r="A42" s="8"/>
      <c r="B42" s="57"/>
      <c r="C42" s="58"/>
      <c r="D42" s="24"/>
      <c r="E42" s="25"/>
      <c r="F42" s="25"/>
      <c r="G42" s="25"/>
      <c r="H42" s="25"/>
      <c r="I42" s="25"/>
      <c r="J42" s="26"/>
      <c r="K42" s="2"/>
      <c r="L42" s="3"/>
      <c r="M42" s="4"/>
      <c r="N42" s="19"/>
      <c r="O42" s="53"/>
      <c r="P42" s="54"/>
      <c r="Q42" s="8"/>
      <c r="R42" s="8"/>
      <c r="S42" s="8"/>
      <c r="T42" s="8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 s="1" customFormat="1" ht="24" customHeight="1" x14ac:dyDescent="0.4">
      <c r="A43" s="8"/>
      <c r="B43" s="57"/>
      <c r="C43" s="58"/>
      <c r="D43" s="24"/>
      <c r="E43" s="25"/>
      <c r="F43" s="25"/>
      <c r="G43" s="25"/>
      <c r="H43" s="25"/>
      <c r="I43" s="25"/>
      <c r="J43" s="26"/>
      <c r="K43" s="2"/>
      <c r="L43" s="3"/>
      <c r="M43" s="4"/>
      <c r="N43" s="19"/>
      <c r="O43" s="53"/>
      <c r="P43" s="54"/>
      <c r="Q43" s="8"/>
      <c r="R43" s="8"/>
      <c r="S43" s="8"/>
      <c r="T43" s="8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1:30" s="1" customFormat="1" ht="24" customHeight="1" x14ac:dyDescent="0.4">
      <c r="A44" s="8"/>
      <c r="B44" s="57"/>
      <c r="C44" s="58"/>
      <c r="D44" s="24"/>
      <c r="E44" s="25"/>
      <c r="F44" s="25"/>
      <c r="G44" s="25"/>
      <c r="H44" s="25"/>
      <c r="I44" s="25"/>
      <c r="J44" s="26"/>
      <c r="K44" s="2"/>
      <c r="L44" s="3"/>
      <c r="M44" s="4"/>
      <c r="N44" s="19"/>
      <c r="O44" s="53"/>
      <c r="P44" s="54"/>
      <c r="Q44" s="8"/>
      <c r="R44" s="8"/>
      <c r="S44" s="8"/>
      <c r="T44" s="8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 s="1" customFormat="1" ht="24" customHeight="1" x14ac:dyDescent="0.4">
      <c r="A45" s="8"/>
      <c r="B45" s="57"/>
      <c r="C45" s="58"/>
      <c r="D45" s="24"/>
      <c r="E45" s="25"/>
      <c r="F45" s="25"/>
      <c r="G45" s="25"/>
      <c r="H45" s="25"/>
      <c r="I45" s="25"/>
      <c r="J45" s="26"/>
      <c r="K45" s="2"/>
      <c r="L45" s="3"/>
      <c r="M45" s="4"/>
      <c r="N45" s="19"/>
      <c r="O45" s="53"/>
      <c r="P45" s="54"/>
      <c r="Q45" s="8"/>
      <c r="R45" s="8"/>
      <c r="S45" s="8"/>
      <c r="T45" s="8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1:30" s="1" customFormat="1" ht="24" customHeight="1" x14ac:dyDescent="0.4">
      <c r="A46" s="8"/>
      <c r="B46" s="57"/>
      <c r="C46" s="58"/>
      <c r="D46" s="24"/>
      <c r="E46" s="25"/>
      <c r="F46" s="25"/>
      <c r="G46" s="25"/>
      <c r="H46" s="25"/>
      <c r="I46" s="25"/>
      <c r="J46" s="26"/>
      <c r="K46" s="2"/>
      <c r="L46" s="3"/>
      <c r="M46" s="4"/>
      <c r="N46" s="19"/>
      <c r="O46" s="53"/>
      <c r="P46" s="54"/>
      <c r="Q46" s="8"/>
      <c r="R46" s="8"/>
      <c r="S46" s="8"/>
      <c r="T46" s="8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 s="1" customFormat="1" ht="24" customHeight="1" x14ac:dyDescent="0.4">
      <c r="A47" s="8"/>
      <c r="B47" s="13" t="s">
        <v>16</v>
      </c>
      <c r="C47" s="13"/>
      <c r="D47" s="13"/>
      <c r="E47" s="13"/>
      <c r="F47" s="13"/>
      <c r="G47" s="13"/>
      <c r="H47" s="13"/>
      <c r="I47" s="13"/>
      <c r="J47" s="13"/>
      <c r="K47" s="13"/>
      <c r="L47" s="8"/>
      <c r="M47" s="13"/>
      <c r="N47" s="22" t="s">
        <v>40</v>
      </c>
      <c r="O47" s="47">
        <f>F49+F50</f>
        <v>76450</v>
      </c>
      <c r="P47" s="48"/>
      <c r="Q47" s="8"/>
      <c r="R47" s="8"/>
      <c r="S47" s="8"/>
      <c r="T47" s="8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 spans="1:30" s="1" customFormat="1" ht="24" customHeight="1" x14ac:dyDescent="0.4">
      <c r="A48" s="8"/>
      <c r="B48" s="49" t="s">
        <v>12</v>
      </c>
      <c r="C48" s="50"/>
      <c r="D48" s="50" t="s">
        <v>38</v>
      </c>
      <c r="E48" s="50"/>
      <c r="F48" s="51" t="s">
        <v>37</v>
      </c>
      <c r="G48" s="52"/>
      <c r="H48" s="13"/>
      <c r="I48" s="13"/>
      <c r="J48" s="13"/>
      <c r="K48" s="13"/>
      <c r="L48" s="13"/>
      <c r="M48" s="13"/>
      <c r="N48" s="22" t="s">
        <v>39</v>
      </c>
      <c r="O48" s="30">
        <f>SUM(D49:E50)</f>
        <v>5762.777777777781</v>
      </c>
      <c r="P48" s="31"/>
      <c r="Q48" s="8"/>
      <c r="R48" s="8"/>
      <c r="S48" s="8"/>
      <c r="T48" s="8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1:31" s="1" customFormat="1" ht="24" customHeight="1" x14ac:dyDescent="0.4">
      <c r="A49" s="8"/>
      <c r="B49" s="27" t="s">
        <v>14</v>
      </c>
      <c r="C49" s="28"/>
      <c r="D49" s="29">
        <f>F49-(F49/1.08)</f>
        <v>5377.777777777781</v>
      </c>
      <c r="E49" s="29"/>
      <c r="F49" s="30">
        <f>O21+O23+O25+O27+O29+O31+O33+O35+O37+O39+O41+O43+O45</f>
        <v>72600</v>
      </c>
      <c r="G49" s="31"/>
      <c r="H49" s="13"/>
      <c r="I49" s="13"/>
      <c r="J49" s="13"/>
      <c r="K49" s="13"/>
      <c r="L49" s="13"/>
      <c r="M49" s="13"/>
      <c r="N49" s="8"/>
      <c r="O49" s="8"/>
      <c r="P49" s="8"/>
      <c r="Q49" s="8"/>
      <c r="R49" s="5"/>
      <c r="S49" s="5"/>
      <c r="T49" s="8"/>
      <c r="U49" s="5"/>
      <c r="V49" s="5"/>
      <c r="W49" s="5"/>
      <c r="X49" s="5"/>
      <c r="Y49" s="5"/>
      <c r="Z49" s="5"/>
      <c r="AA49" s="5"/>
    </row>
    <row r="50" spans="1:31" s="1" customFormat="1" ht="24" customHeight="1" x14ac:dyDescent="0.4">
      <c r="A50" s="8"/>
      <c r="B50" s="27" t="s">
        <v>13</v>
      </c>
      <c r="C50" s="28"/>
      <c r="D50" s="29">
        <f>F50/10</f>
        <v>385</v>
      </c>
      <c r="E50" s="29"/>
      <c r="F50" s="30">
        <f>O22+O24+O42+O44+O46+O26+O28+O30+O32+O34+O36+O38+O40</f>
        <v>3850</v>
      </c>
      <c r="G50" s="31"/>
      <c r="H50" s="13"/>
      <c r="I50" s="13"/>
      <c r="J50" s="13"/>
      <c r="K50" s="13"/>
      <c r="L50" s="13"/>
      <c r="M50" s="13"/>
      <c r="N50" s="14"/>
      <c r="O50" s="7"/>
      <c r="P50" s="7"/>
      <c r="Q50" s="7"/>
      <c r="R50" s="8"/>
      <c r="S50" s="8"/>
      <c r="T50" s="8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</row>
    <row r="51" spans="1:31" s="1" customFormat="1" ht="18.95" customHeight="1" x14ac:dyDescent="0.4">
      <c r="A51" s="8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4"/>
      <c r="O51" s="14"/>
      <c r="P51" s="14"/>
      <c r="Q51" s="14"/>
      <c r="R51" s="8"/>
      <c r="S51" s="8"/>
      <c r="T51" s="8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</row>
    <row r="52" spans="1:31" s="1" customFormat="1" ht="33" customHeight="1" x14ac:dyDescent="0.4">
      <c r="A52" s="8"/>
      <c r="B52" s="41" t="s">
        <v>15</v>
      </c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3"/>
      <c r="R52" s="8"/>
      <c r="S52" s="8"/>
      <c r="T52" s="8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</row>
    <row r="53" spans="1:31" s="1" customFormat="1" ht="33" customHeight="1" x14ac:dyDescent="0.4">
      <c r="A53" s="8"/>
      <c r="B53" s="32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4"/>
      <c r="R53" s="8"/>
      <c r="S53" s="8"/>
      <c r="T53" s="8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</row>
    <row r="54" spans="1:31" s="1" customFormat="1" ht="48" customHeight="1" x14ac:dyDescent="0.4">
      <c r="A54" s="8"/>
      <c r="B54" s="35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7"/>
      <c r="R54" s="8"/>
      <c r="S54" s="8"/>
      <c r="T54" s="8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</row>
    <row r="55" spans="1:31" s="1" customFormat="1" ht="0.75" customHeight="1" x14ac:dyDescent="0.4">
      <c r="A55" s="5"/>
      <c r="B55" s="38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40"/>
      <c r="R55" s="8"/>
      <c r="S55" s="8"/>
      <c r="T55" s="8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</row>
    <row r="56" spans="1:31" ht="78" customHeight="1" x14ac:dyDescent="0.4"/>
    <row r="57" spans="1:31" ht="33" customHeight="1" x14ac:dyDescent="0.4"/>
    <row r="58" spans="1:31" ht="33" customHeight="1" x14ac:dyDescent="0.4"/>
    <row r="59" spans="1:31" ht="33" customHeight="1" x14ac:dyDescent="0.4"/>
    <row r="60" spans="1:31" ht="33" customHeight="1" x14ac:dyDescent="0.4"/>
    <row r="61" spans="1:31" ht="33" customHeight="1" x14ac:dyDescent="0.4"/>
    <row r="62" spans="1:31" ht="33" customHeight="1" x14ac:dyDescent="0.4"/>
    <row r="63" spans="1:31" ht="33" customHeight="1" x14ac:dyDescent="0.4"/>
    <row r="64" spans="1:31" ht="33" customHeight="1" x14ac:dyDescent="0.4"/>
    <row r="65" ht="33" customHeight="1" x14ac:dyDescent="0.4"/>
    <row r="66" ht="33" customHeight="1" x14ac:dyDescent="0.4"/>
    <row r="67" ht="33" customHeight="1" x14ac:dyDescent="0.4"/>
    <row r="68" ht="33" customHeight="1" x14ac:dyDescent="0.4"/>
    <row r="69" ht="33" customHeight="1" x14ac:dyDescent="0.4"/>
    <row r="70" ht="33" hidden="1" customHeight="1" x14ac:dyDescent="0.4"/>
    <row r="71" ht="33" hidden="1" customHeight="1" x14ac:dyDescent="0.4"/>
    <row r="72" hidden="1" x14ac:dyDescent="0.4"/>
    <row r="73" ht="17.25" customHeight="1" x14ac:dyDescent="0.4"/>
    <row r="74" ht="17.25" customHeight="1" x14ac:dyDescent="0.4"/>
    <row r="75" ht="17.25" customHeight="1" x14ac:dyDescent="0.4"/>
    <row r="76" ht="17.25" customHeight="1" x14ac:dyDescent="0.4"/>
    <row r="77" ht="17.25" customHeight="1" x14ac:dyDescent="0.4"/>
    <row r="78" ht="17.25" customHeight="1" x14ac:dyDescent="0.4"/>
  </sheetData>
  <mergeCells count="114">
    <mergeCell ref="B50:C50"/>
    <mergeCell ref="D50:E50"/>
    <mergeCell ref="F50:G50"/>
    <mergeCell ref="O47:P47"/>
    <mergeCell ref="B48:C48"/>
    <mergeCell ref="D48:E48"/>
    <mergeCell ref="F48:G48"/>
    <mergeCell ref="O48:P48"/>
    <mergeCell ref="B45:C45"/>
    <mergeCell ref="D45:J45"/>
    <mergeCell ref="O45:P45"/>
    <mergeCell ref="B46:C46"/>
    <mergeCell ref="D46:J46"/>
    <mergeCell ref="O46:P46"/>
    <mergeCell ref="B35:C35"/>
    <mergeCell ref="O35:P35"/>
    <mergeCell ref="B36:C36"/>
    <mergeCell ref="O36:P36"/>
    <mergeCell ref="B37:C37"/>
    <mergeCell ref="O37:P37"/>
    <mergeCell ref="B38:C38"/>
    <mergeCell ref="O38:P38"/>
    <mergeCell ref="B49:C49"/>
    <mergeCell ref="D49:E49"/>
    <mergeCell ref="F49:G49"/>
    <mergeCell ref="B39:C39"/>
    <mergeCell ref="O39:P39"/>
    <mergeCell ref="B40:C40"/>
    <mergeCell ref="O40:P40"/>
    <mergeCell ref="D39:J39"/>
    <mergeCell ref="D40:J40"/>
    <mergeCell ref="D35:J35"/>
    <mergeCell ref="D36:J36"/>
    <mergeCell ref="D37:J37"/>
    <mergeCell ref="D38:J38"/>
    <mergeCell ref="B41:C41"/>
    <mergeCell ref="D41:J41"/>
    <mergeCell ref="D42:J42"/>
    <mergeCell ref="B32:C32"/>
    <mergeCell ref="O32:P32"/>
    <mergeCell ref="B30:C30"/>
    <mergeCell ref="O30:P30"/>
    <mergeCell ref="B31:C31"/>
    <mergeCell ref="O31:P31"/>
    <mergeCell ref="B33:C33"/>
    <mergeCell ref="O33:P33"/>
    <mergeCell ref="B34:C34"/>
    <mergeCell ref="O34:P34"/>
    <mergeCell ref="D30:J30"/>
    <mergeCell ref="D31:J31"/>
    <mergeCell ref="D32:J32"/>
    <mergeCell ref="D33:J33"/>
    <mergeCell ref="D34:J34"/>
    <mergeCell ref="B28:C28"/>
    <mergeCell ref="O28:P28"/>
    <mergeCell ref="B29:C29"/>
    <mergeCell ref="O29:P29"/>
    <mergeCell ref="B26:C26"/>
    <mergeCell ref="D26:J26"/>
    <mergeCell ref="O26:P26"/>
    <mergeCell ref="B27:C27"/>
    <mergeCell ref="O27:P27"/>
    <mergeCell ref="D27:J27"/>
    <mergeCell ref="D28:J28"/>
    <mergeCell ref="D29:J29"/>
    <mergeCell ref="O20:P20"/>
    <mergeCell ref="B21:C21"/>
    <mergeCell ref="D21:J21"/>
    <mergeCell ref="O21:P21"/>
    <mergeCell ref="B24:C24"/>
    <mergeCell ref="D24:J24"/>
    <mergeCell ref="O24:P24"/>
    <mergeCell ref="B25:C25"/>
    <mergeCell ref="D25:J25"/>
    <mergeCell ref="O25:P25"/>
    <mergeCell ref="B22:C22"/>
    <mergeCell ref="D22:J22"/>
    <mergeCell ref="O22:P22"/>
    <mergeCell ref="B23:C23"/>
    <mergeCell ref="D23:J23"/>
    <mergeCell ref="O23:P23"/>
    <mergeCell ref="B53:Q55"/>
    <mergeCell ref="B52:Q52"/>
    <mergeCell ref="B2:Q2"/>
    <mergeCell ref="O4:Q4"/>
    <mergeCell ref="O5:Q5"/>
    <mergeCell ref="B6:I6"/>
    <mergeCell ref="O6:Q6"/>
    <mergeCell ref="B11:J11"/>
    <mergeCell ref="N11:Q11"/>
    <mergeCell ref="B12:J13"/>
    <mergeCell ref="N12:Q12"/>
    <mergeCell ref="B15:B16"/>
    <mergeCell ref="C15:H15"/>
    <mergeCell ref="C16:H16"/>
    <mergeCell ref="B7:J7"/>
    <mergeCell ref="B8:J8"/>
    <mergeCell ref="M8:Q8"/>
    <mergeCell ref="B9:J9"/>
    <mergeCell ref="M9:Q9"/>
    <mergeCell ref="B10:J10"/>
    <mergeCell ref="N10:Q10"/>
    <mergeCell ref="C17:H17"/>
    <mergeCell ref="B20:C20"/>
    <mergeCell ref="D20:J20"/>
    <mergeCell ref="B42:C42"/>
    <mergeCell ref="B43:C43"/>
    <mergeCell ref="B44:C44"/>
    <mergeCell ref="D43:J43"/>
    <mergeCell ref="D44:J44"/>
    <mergeCell ref="O41:P41"/>
    <mergeCell ref="O42:P42"/>
    <mergeCell ref="O43:P43"/>
    <mergeCell ref="O44:P44"/>
  </mergeCells>
  <phoneticPr fontId="1"/>
  <dataValidations count="2">
    <dataValidation type="date" operator="greaterThan" allowBlank="1" showInputMessage="1" showErrorMessage="1" errorTitle="日付の入力エラー" error="正しい日付を入力してください。" sqref="O4:Q5 B21:B46" xr:uid="{00000000-0002-0000-0200-000000000000}">
      <formula1>1</formula1>
    </dataValidation>
    <dataValidation type="list" allowBlank="1" showInputMessage="1" showErrorMessage="1" sqref="K21:K46" xr:uid="{00000000-0002-0000-0200-000001000000}">
      <formula1>"※"</formula1>
    </dataValidation>
  </dataValidations>
  <printOptions horizontalCentered="1"/>
  <pageMargins left="0.31496062992125984" right="0.31496062992125984" top="0.55118110236220474" bottom="0" header="0.31496062992125984" footer="0.31496062992125984"/>
  <pageSetup paperSize="9" scale="5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4"/>
  <sheetViews>
    <sheetView topLeftCell="A20" zoomScale="70" zoomScaleNormal="70" workbookViewId="0">
      <selection activeCell="B28" sqref="B28:C28"/>
    </sheetView>
  </sheetViews>
  <sheetFormatPr defaultColWidth="0" defaultRowHeight="17.25" customHeight="1" zeroHeight="1" x14ac:dyDescent="0.4"/>
  <cols>
    <col min="1" max="1" width="2" style="5" customWidth="1"/>
    <col min="2" max="2" width="10.44140625" style="5" customWidth="1"/>
    <col min="3" max="3" width="6" style="5" customWidth="1"/>
    <col min="4" max="8" width="8" style="5" customWidth="1"/>
    <col min="9" max="10" width="7.44140625" style="5" customWidth="1"/>
    <col min="11" max="11" width="9.44140625" style="5" customWidth="1"/>
    <col min="12" max="13" width="8" style="5" customWidth="1"/>
    <col min="14" max="14" width="14.5546875" style="5" bestFit="1" customWidth="1"/>
    <col min="15" max="17" width="8" style="5" customWidth="1"/>
    <col min="18" max="19" width="8" style="5" hidden="1" customWidth="1"/>
    <col min="20" max="20" width="1.88671875" style="5" customWidth="1"/>
    <col min="21" max="22" width="10.6640625" style="5" customWidth="1"/>
    <col min="23" max="23" width="12.21875" style="5" bestFit="1" customWidth="1"/>
    <col min="24" max="31" width="10.6640625" style="5" customWidth="1"/>
    <col min="32" max="32" width="0" style="5" hidden="1" customWidth="1"/>
    <col min="33" max="16384" width="10.6640625" style="5" hidden="1"/>
  </cols>
  <sheetData>
    <row r="1" spans="1:31" s="1" customFormat="1" hidden="1" x14ac:dyDescent="0.4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s="1" customFormat="1" ht="53.1" customHeight="1" x14ac:dyDescent="0.4">
      <c r="A2" s="8"/>
      <c r="B2" s="86" t="s">
        <v>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"/>
      <c r="S2" s="8"/>
      <c r="T2" s="8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 s="1" customFormat="1" hidden="1" x14ac:dyDescent="0.4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 spans="1:31" s="1" customFormat="1" ht="30.95" customHeight="1" x14ac:dyDescent="0.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21" t="s">
        <v>1</v>
      </c>
      <c r="O4" s="87">
        <v>46234</v>
      </c>
      <c r="P4" s="87"/>
      <c r="Q4" s="87"/>
      <c r="R4" s="8"/>
      <c r="S4" s="8"/>
      <c r="T4" s="8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 spans="1:31" s="1" customFormat="1" ht="30.95" customHeight="1" x14ac:dyDescent="0.4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21" t="s">
        <v>3</v>
      </c>
      <c r="O5" s="88">
        <v>2370001017442</v>
      </c>
      <c r="P5" s="88"/>
      <c r="Q5" s="88"/>
      <c r="R5" s="8"/>
      <c r="S5" s="8"/>
      <c r="T5" s="8"/>
      <c r="U5" s="5"/>
      <c r="V5" s="5"/>
      <c r="W5" s="5"/>
      <c r="X5" s="5"/>
      <c r="Y5" s="5"/>
      <c r="Z5" s="5"/>
      <c r="AA5" s="5"/>
      <c r="AB5" s="5"/>
      <c r="AC5" s="5"/>
      <c r="AD5" s="5"/>
      <c r="AE5" s="5"/>
    </row>
    <row r="6" spans="1:31" s="1" customFormat="1" ht="30.95" customHeight="1" x14ac:dyDescent="0.4">
      <c r="A6" s="8"/>
      <c r="B6" s="89" t="s">
        <v>41</v>
      </c>
      <c r="C6" s="89"/>
      <c r="D6" s="89"/>
      <c r="E6" s="89"/>
      <c r="F6" s="89"/>
      <c r="G6" s="89"/>
      <c r="H6" s="89"/>
      <c r="I6" s="89"/>
      <c r="J6" s="18" t="s">
        <v>24</v>
      </c>
      <c r="M6" s="8"/>
      <c r="N6" s="21" t="s">
        <v>23</v>
      </c>
      <c r="O6" s="90"/>
      <c r="P6" s="90"/>
      <c r="Q6" s="90"/>
      <c r="R6" s="8"/>
      <c r="S6" s="8"/>
      <c r="T6" s="8"/>
      <c r="U6" s="5"/>
      <c r="V6" s="5"/>
      <c r="W6" s="5"/>
      <c r="X6" s="5"/>
      <c r="Y6" s="5"/>
      <c r="Z6" s="5"/>
      <c r="AA6" s="5"/>
      <c r="AB6" s="5"/>
      <c r="AC6" s="5"/>
      <c r="AD6" s="5"/>
      <c r="AE6" s="5"/>
    </row>
    <row r="7" spans="1:31" s="1" customFormat="1" ht="26.1" customHeight="1" x14ac:dyDescent="0.4">
      <c r="A7" s="8"/>
      <c r="B7" s="72"/>
      <c r="C7" s="72"/>
      <c r="D7" s="72"/>
      <c r="E7" s="72"/>
      <c r="F7" s="72"/>
      <c r="G7" s="72"/>
      <c r="H7" s="72"/>
      <c r="I7" s="72"/>
      <c r="J7" s="72"/>
      <c r="K7" s="8"/>
      <c r="L7" s="8"/>
      <c r="M7" s="8"/>
      <c r="N7" s="9"/>
      <c r="O7" s="10"/>
      <c r="P7" s="10"/>
      <c r="Q7" s="10"/>
      <c r="R7" s="8"/>
      <c r="S7" s="8"/>
      <c r="T7" s="8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r="8" spans="1:31" s="1" customFormat="1" ht="33.950000000000003" customHeight="1" x14ac:dyDescent="0.4">
      <c r="A8" s="8"/>
      <c r="B8" s="73"/>
      <c r="C8" s="73"/>
      <c r="D8" s="73"/>
      <c r="E8" s="73"/>
      <c r="F8" s="73"/>
      <c r="G8" s="73"/>
      <c r="H8" s="73"/>
      <c r="I8" s="73"/>
      <c r="J8" s="73"/>
      <c r="K8" s="8"/>
      <c r="L8" s="8"/>
      <c r="M8" s="74" t="s">
        <v>30</v>
      </c>
      <c r="N8" s="74"/>
      <c r="O8" s="74"/>
      <c r="P8" s="74"/>
      <c r="Q8" s="74"/>
      <c r="R8" s="8"/>
      <c r="S8" s="8"/>
      <c r="T8" s="8"/>
      <c r="U8" s="5"/>
      <c r="V8" s="5"/>
      <c r="W8" s="5"/>
      <c r="X8" s="5"/>
      <c r="Y8" s="5"/>
      <c r="Z8" s="5"/>
      <c r="AA8" s="5"/>
      <c r="AB8" s="5"/>
      <c r="AC8" s="5"/>
      <c r="AD8" s="5"/>
      <c r="AE8" s="5"/>
    </row>
    <row r="9" spans="1:31" s="1" customFormat="1" ht="30" customHeight="1" x14ac:dyDescent="0.4">
      <c r="A9" s="8"/>
      <c r="B9" s="75"/>
      <c r="C9" s="75"/>
      <c r="D9" s="75"/>
      <c r="E9" s="75"/>
      <c r="F9" s="75"/>
      <c r="G9" s="75"/>
      <c r="H9" s="75"/>
      <c r="I9" s="75"/>
      <c r="J9" s="75"/>
      <c r="K9" s="8"/>
      <c r="L9" s="8"/>
      <c r="M9" s="72" t="s">
        <v>33</v>
      </c>
      <c r="N9" s="72"/>
      <c r="O9" s="72"/>
      <c r="P9" s="72"/>
      <c r="Q9" s="72"/>
      <c r="R9" s="8"/>
      <c r="S9" s="8"/>
      <c r="T9" s="8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 spans="1:31" s="1" customFormat="1" ht="38.1" customHeight="1" x14ac:dyDescent="0.4">
      <c r="A10" s="8"/>
      <c r="B10" s="76" t="s">
        <v>5</v>
      </c>
      <c r="C10" s="76"/>
      <c r="D10" s="76"/>
      <c r="E10" s="76"/>
      <c r="F10" s="76"/>
      <c r="G10" s="76"/>
      <c r="H10" s="76"/>
      <c r="I10" s="76"/>
      <c r="J10" s="76"/>
      <c r="K10" s="12"/>
      <c r="L10" s="12"/>
      <c r="M10" s="11" t="s">
        <v>2</v>
      </c>
      <c r="N10" s="77" t="s">
        <v>34</v>
      </c>
      <c r="O10" s="78"/>
      <c r="P10" s="78"/>
      <c r="Q10" s="78"/>
      <c r="R10" s="8"/>
      <c r="S10" s="8"/>
      <c r="T10" s="8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</row>
    <row r="11" spans="1:31" s="1" customFormat="1" ht="30" customHeight="1" x14ac:dyDescent="0.4">
      <c r="A11" s="8"/>
      <c r="B11" s="91" t="s">
        <v>6</v>
      </c>
      <c r="C11" s="84"/>
      <c r="D11" s="84"/>
      <c r="E11" s="84"/>
      <c r="F11" s="84"/>
      <c r="G11" s="84"/>
      <c r="H11" s="84"/>
      <c r="I11" s="84"/>
      <c r="J11" s="92"/>
      <c r="K11" s="8"/>
      <c r="L11" s="8"/>
      <c r="M11" s="11" t="s">
        <v>4</v>
      </c>
      <c r="N11" s="78" t="s">
        <v>35</v>
      </c>
      <c r="O11" s="78"/>
      <c r="P11" s="78"/>
      <c r="Q11" s="78"/>
      <c r="R11" s="8"/>
      <c r="S11" s="8"/>
      <c r="T11" s="8"/>
      <c r="U11" s="5"/>
      <c r="V11" s="5"/>
      <c r="W11" s="20"/>
      <c r="X11" s="5"/>
      <c r="Y11" s="5"/>
      <c r="Z11" s="5"/>
      <c r="AA11" s="5"/>
      <c r="AB11" s="5"/>
      <c r="AC11" s="5"/>
      <c r="AD11" s="5"/>
      <c r="AE11" s="5"/>
    </row>
    <row r="12" spans="1:31" s="1" customFormat="1" ht="30" customHeight="1" x14ac:dyDescent="0.4">
      <c r="A12" s="8"/>
      <c r="B12" s="93">
        <f>O49</f>
        <v>17330</v>
      </c>
      <c r="C12" s="94"/>
      <c r="D12" s="94"/>
      <c r="E12" s="94"/>
      <c r="F12" s="94"/>
      <c r="G12" s="94"/>
      <c r="H12" s="94"/>
      <c r="I12" s="94"/>
      <c r="J12" s="95"/>
      <c r="K12" s="8"/>
      <c r="L12" s="8"/>
      <c r="M12" s="11" t="s">
        <v>19</v>
      </c>
      <c r="N12" s="78" t="s">
        <v>36</v>
      </c>
      <c r="O12" s="78"/>
      <c r="P12" s="78"/>
      <c r="Q12" s="78"/>
      <c r="R12" s="8"/>
      <c r="S12" s="8"/>
      <c r="T12" s="8"/>
      <c r="U12" s="5"/>
      <c r="V12" s="23">
        <f>ROUNDDOWN(B12+八乙女店!B12+川平1丁目店!B12+堤町店!B12+広瀬立町店!B12,0)</f>
        <v>134529</v>
      </c>
      <c r="W12" s="5"/>
      <c r="X12" s="5"/>
      <c r="Y12" s="5"/>
      <c r="Z12" s="5"/>
      <c r="AA12" s="5"/>
      <c r="AB12" s="5"/>
      <c r="AC12" s="5"/>
      <c r="AD12" s="5"/>
      <c r="AE12" s="5"/>
    </row>
    <row r="13" spans="1:31" s="1" customFormat="1" ht="32.1" customHeight="1" x14ac:dyDescent="0.4">
      <c r="A13" s="8"/>
      <c r="B13" s="96"/>
      <c r="C13" s="97"/>
      <c r="D13" s="97"/>
      <c r="E13" s="97"/>
      <c r="F13" s="97"/>
      <c r="G13" s="97"/>
      <c r="H13" s="97"/>
      <c r="I13" s="97"/>
      <c r="J13" s="98"/>
      <c r="K13" s="8"/>
      <c r="L13" s="8"/>
      <c r="M13" s="8"/>
      <c r="N13" s="8"/>
      <c r="O13" s="8"/>
      <c r="P13" s="8"/>
      <c r="Q13" s="8"/>
      <c r="R13" s="8"/>
      <c r="S13" s="8"/>
      <c r="T13" s="8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 spans="1:31" s="1" customFormat="1" ht="32.1" customHeight="1" x14ac:dyDescent="0.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 spans="1:31" s="1" customFormat="1" ht="24" customHeight="1" x14ac:dyDescent="0.4">
      <c r="A15" s="8"/>
      <c r="B15" s="64" t="s">
        <v>7</v>
      </c>
      <c r="C15" s="66" t="s">
        <v>31</v>
      </c>
      <c r="D15" s="67"/>
      <c r="E15" s="67"/>
      <c r="F15" s="67"/>
      <c r="G15" s="67"/>
      <c r="H15" s="6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 spans="1:31" s="1" customFormat="1" ht="24" customHeight="1" x14ac:dyDescent="0.4">
      <c r="A16" s="8"/>
      <c r="B16" s="65"/>
      <c r="C16" s="69" t="s">
        <v>32</v>
      </c>
      <c r="D16" s="70"/>
      <c r="E16" s="70"/>
      <c r="F16" s="70"/>
      <c r="G16" s="70"/>
      <c r="H16" s="71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 spans="1:31" s="1" customFormat="1" ht="24" customHeight="1" x14ac:dyDescent="0.4">
      <c r="A17" s="8"/>
      <c r="B17" s="15" t="s">
        <v>8</v>
      </c>
      <c r="C17" s="79">
        <v>46275</v>
      </c>
      <c r="D17" s="80"/>
      <c r="E17" s="80"/>
      <c r="F17" s="80"/>
      <c r="G17" s="80"/>
      <c r="H17" s="81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</row>
    <row r="18" spans="1:31" s="1" customFormat="1" ht="24" customHeight="1" x14ac:dyDescent="0.4">
      <c r="A18" s="8"/>
      <c r="B18" s="13" t="s">
        <v>17</v>
      </c>
      <c r="C18" s="13"/>
      <c r="D18" s="13"/>
      <c r="E18" s="13"/>
      <c r="F18" s="13"/>
      <c r="G18" s="13"/>
      <c r="H18" s="13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1" s="1" customFormat="1" ht="24" customHeight="1" x14ac:dyDescent="0.4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1" s="1" customFormat="1" ht="24" customHeight="1" x14ac:dyDescent="0.4">
      <c r="A20" s="8"/>
      <c r="B20" s="82" t="s">
        <v>20</v>
      </c>
      <c r="C20" s="63"/>
      <c r="D20" s="83" t="s">
        <v>21</v>
      </c>
      <c r="E20" s="84"/>
      <c r="F20" s="84"/>
      <c r="G20" s="84"/>
      <c r="H20" s="84"/>
      <c r="I20" s="84"/>
      <c r="J20" s="85"/>
      <c r="K20" s="17" t="s">
        <v>18</v>
      </c>
      <c r="L20" s="16" t="s">
        <v>11</v>
      </c>
      <c r="M20" s="16" t="s">
        <v>10</v>
      </c>
      <c r="N20" s="16" t="s">
        <v>9</v>
      </c>
      <c r="O20" s="63" t="s">
        <v>37</v>
      </c>
      <c r="P20" s="63"/>
      <c r="Q20" s="8"/>
      <c r="R20" s="8"/>
      <c r="S20" s="8"/>
      <c r="T20" s="8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1" s="1" customFormat="1" ht="24" customHeight="1" x14ac:dyDescent="0.4">
      <c r="A21" s="8"/>
      <c r="B21" s="44">
        <v>46198</v>
      </c>
      <c r="C21" s="45"/>
      <c r="D21" s="24" t="s">
        <v>25</v>
      </c>
      <c r="E21" s="25"/>
      <c r="F21" s="25"/>
      <c r="G21" s="25"/>
      <c r="H21" s="25"/>
      <c r="I21" s="25"/>
      <c r="J21" s="25"/>
      <c r="K21" s="6" t="s">
        <v>22</v>
      </c>
      <c r="L21" s="3">
        <v>1</v>
      </c>
      <c r="M21" s="4"/>
      <c r="N21" s="19" t="str">
        <f t="shared" ref="N21:N26" si="0">IF(ISBLANK(B21),"",IF(K21="","10%","8%"))</f>
        <v>8%</v>
      </c>
      <c r="O21" s="53">
        <v>5247</v>
      </c>
      <c r="P21" s="54"/>
      <c r="Q21" s="8"/>
      <c r="R21" s="8"/>
      <c r="S21" s="8"/>
      <c r="T21" s="8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1" s="1" customFormat="1" ht="24" customHeight="1" x14ac:dyDescent="0.4">
      <c r="A22" s="8"/>
      <c r="B22" s="44">
        <v>46198</v>
      </c>
      <c r="C22" s="45"/>
      <c r="D22" s="24" t="s">
        <v>25</v>
      </c>
      <c r="E22" s="25"/>
      <c r="F22" s="25"/>
      <c r="G22" s="25"/>
      <c r="H22" s="25"/>
      <c r="I22" s="25"/>
      <c r="J22" s="26"/>
      <c r="K22" s="6"/>
      <c r="L22" s="3">
        <v>1</v>
      </c>
      <c r="M22" s="4"/>
      <c r="N22" s="19" t="str">
        <f t="shared" si="0"/>
        <v>10%</v>
      </c>
      <c r="O22" s="53">
        <v>550</v>
      </c>
      <c r="P22" s="54"/>
      <c r="Q22" s="8"/>
      <c r="R22" s="8"/>
      <c r="S22" s="8"/>
      <c r="T22" s="8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1" s="1" customFormat="1" ht="24" customHeight="1" x14ac:dyDescent="0.4">
      <c r="A23" s="8"/>
      <c r="B23" s="44">
        <v>46207</v>
      </c>
      <c r="C23" s="45"/>
      <c r="D23" s="24" t="s">
        <v>25</v>
      </c>
      <c r="E23" s="25"/>
      <c r="F23" s="25"/>
      <c r="G23" s="25"/>
      <c r="H23" s="25"/>
      <c r="I23" s="25"/>
      <c r="J23" s="26"/>
      <c r="K23" s="6"/>
      <c r="L23" s="3">
        <v>1</v>
      </c>
      <c r="M23" s="4"/>
      <c r="N23" s="19">
        <v>0.08</v>
      </c>
      <c r="O23" s="53">
        <v>7178</v>
      </c>
      <c r="P23" s="54"/>
      <c r="Q23" s="8"/>
      <c r="R23" s="8"/>
      <c r="S23" s="8"/>
      <c r="T23" s="8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1" s="1" customFormat="1" ht="24" customHeight="1" x14ac:dyDescent="0.4">
      <c r="A24" s="8"/>
      <c r="B24" s="44">
        <v>46207</v>
      </c>
      <c r="C24" s="45"/>
      <c r="D24" s="24" t="s">
        <v>25</v>
      </c>
      <c r="E24" s="25"/>
      <c r="F24" s="25"/>
      <c r="G24" s="25"/>
      <c r="H24" s="25"/>
      <c r="I24" s="25"/>
      <c r="J24" s="26"/>
      <c r="K24" s="6"/>
      <c r="L24" s="3">
        <v>1</v>
      </c>
      <c r="M24" s="4"/>
      <c r="N24" s="19" t="str">
        <f t="shared" si="0"/>
        <v>10%</v>
      </c>
      <c r="O24" s="53">
        <v>550</v>
      </c>
      <c r="P24" s="54"/>
      <c r="Q24" s="8"/>
      <c r="R24" s="8"/>
      <c r="S24" s="8"/>
      <c r="T24" s="8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1" s="1" customFormat="1" ht="24" customHeight="1" x14ac:dyDescent="0.4">
      <c r="A25" s="8"/>
      <c r="B25" s="44">
        <v>46219</v>
      </c>
      <c r="C25" s="45"/>
      <c r="D25" s="24" t="s">
        <v>25</v>
      </c>
      <c r="E25" s="25"/>
      <c r="F25" s="25"/>
      <c r="G25" s="25"/>
      <c r="H25" s="25"/>
      <c r="I25" s="25"/>
      <c r="J25" s="26"/>
      <c r="K25" s="6"/>
      <c r="L25" s="3">
        <v>1</v>
      </c>
      <c r="M25" s="4"/>
      <c r="N25" s="19">
        <v>0.08</v>
      </c>
      <c r="O25" s="53">
        <v>3255</v>
      </c>
      <c r="P25" s="54"/>
      <c r="Q25" s="8"/>
      <c r="R25" s="8"/>
      <c r="S25" s="8"/>
      <c r="T25" s="8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1" s="1" customFormat="1" ht="24" customHeight="1" x14ac:dyDescent="0.4">
      <c r="A26" s="8"/>
      <c r="B26" s="44">
        <v>46219</v>
      </c>
      <c r="C26" s="45"/>
      <c r="D26" s="24" t="s">
        <v>25</v>
      </c>
      <c r="E26" s="25"/>
      <c r="F26" s="25"/>
      <c r="G26" s="25"/>
      <c r="H26" s="25"/>
      <c r="I26" s="25"/>
      <c r="J26" s="26"/>
      <c r="K26" s="6"/>
      <c r="L26" s="3">
        <v>1</v>
      </c>
      <c r="M26" s="4"/>
      <c r="N26" s="19" t="str">
        <f t="shared" si="0"/>
        <v>10%</v>
      </c>
      <c r="O26" s="53">
        <v>550</v>
      </c>
      <c r="P26" s="54"/>
      <c r="Q26" s="8"/>
      <c r="R26" s="8"/>
      <c r="S26" s="8"/>
      <c r="T26" s="8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1" s="1" customFormat="1" ht="24" customHeight="1" x14ac:dyDescent="0.4">
      <c r="A27" s="8"/>
      <c r="B27" s="44"/>
      <c r="C27" s="45"/>
      <c r="D27" s="24"/>
      <c r="E27" s="25"/>
      <c r="F27" s="25"/>
      <c r="G27" s="25"/>
      <c r="H27" s="25"/>
      <c r="I27" s="25"/>
      <c r="J27" s="26"/>
      <c r="K27" s="6"/>
      <c r="L27" s="3"/>
      <c r="M27" s="4"/>
      <c r="N27" s="19"/>
      <c r="O27" s="53"/>
      <c r="P27" s="54"/>
      <c r="Q27" s="8"/>
      <c r="R27" s="8"/>
      <c r="S27" s="8"/>
      <c r="T27" s="8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1:31" s="1" customFormat="1" ht="24" customHeight="1" x14ac:dyDescent="0.4">
      <c r="A28" s="8"/>
      <c r="B28" s="44"/>
      <c r="C28" s="45"/>
      <c r="D28" s="24"/>
      <c r="E28" s="25"/>
      <c r="F28" s="25"/>
      <c r="G28" s="25"/>
      <c r="H28" s="25"/>
      <c r="I28" s="25"/>
      <c r="J28" s="26"/>
      <c r="K28" s="6"/>
      <c r="L28" s="3"/>
      <c r="M28" s="4"/>
      <c r="N28" s="19"/>
      <c r="O28" s="53"/>
      <c r="P28" s="54"/>
      <c r="Q28" s="8"/>
      <c r="R28" s="8"/>
      <c r="S28" s="8"/>
      <c r="T28" s="8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1" s="1" customFormat="1" ht="24" customHeight="1" x14ac:dyDescent="0.4">
      <c r="A29" s="8"/>
      <c r="B29" s="61"/>
      <c r="C29" s="62"/>
      <c r="D29" s="24"/>
      <c r="E29" s="25"/>
      <c r="F29" s="25"/>
      <c r="G29" s="25"/>
      <c r="H29" s="25"/>
      <c r="I29" s="25"/>
      <c r="J29" s="26"/>
      <c r="K29" s="6"/>
      <c r="L29" s="3"/>
      <c r="M29" s="4"/>
      <c r="N29" s="19"/>
      <c r="O29" s="53"/>
      <c r="P29" s="54"/>
      <c r="Q29" s="8"/>
      <c r="R29" s="8"/>
      <c r="S29" s="8"/>
      <c r="T29" s="8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1" s="1" customFormat="1" ht="24" customHeight="1" x14ac:dyDescent="0.4">
      <c r="A30" s="8"/>
      <c r="B30" s="61"/>
      <c r="C30" s="62"/>
      <c r="D30" s="24"/>
      <c r="E30" s="25"/>
      <c r="F30" s="25"/>
      <c r="G30" s="25"/>
      <c r="H30" s="25"/>
      <c r="I30" s="25"/>
      <c r="J30" s="26"/>
      <c r="K30" s="2"/>
      <c r="L30" s="3"/>
      <c r="M30" s="4"/>
      <c r="N30" s="19"/>
      <c r="O30" s="53"/>
      <c r="P30" s="54"/>
      <c r="Q30" s="8"/>
      <c r="R30" s="8"/>
      <c r="S30" s="8"/>
      <c r="T30" s="8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1" s="1" customFormat="1" ht="24" customHeight="1" x14ac:dyDescent="0.4">
      <c r="A31" s="8"/>
      <c r="B31" s="61"/>
      <c r="C31" s="62"/>
      <c r="D31" s="24"/>
      <c r="E31" s="25"/>
      <c r="F31" s="25"/>
      <c r="G31" s="25"/>
      <c r="H31" s="25"/>
      <c r="I31" s="25"/>
      <c r="J31" s="26"/>
      <c r="K31" s="2"/>
      <c r="L31" s="3"/>
      <c r="M31" s="4"/>
      <c r="N31" s="19"/>
      <c r="O31" s="53"/>
      <c r="P31" s="54"/>
      <c r="Q31" s="8"/>
      <c r="R31" s="8"/>
      <c r="S31" s="8"/>
      <c r="T31" s="8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1:31" s="1" customFormat="1" ht="24" customHeight="1" x14ac:dyDescent="0.4">
      <c r="A32" s="8"/>
      <c r="B32" s="61"/>
      <c r="C32" s="62"/>
      <c r="D32" s="24"/>
      <c r="E32" s="25"/>
      <c r="F32" s="25"/>
      <c r="G32" s="25"/>
      <c r="H32" s="25"/>
      <c r="I32" s="25"/>
      <c r="J32" s="26"/>
      <c r="K32" s="2"/>
      <c r="L32" s="3"/>
      <c r="M32" s="4"/>
      <c r="N32" s="19"/>
      <c r="O32" s="53"/>
      <c r="P32" s="54"/>
      <c r="Q32" s="8"/>
      <c r="R32" s="8"/>
      <c r="S32" s="8"/>
      <c r="T32" s="8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spans="1:30" s="1" customFormat="1" ht="24" customHeight="1" x14ac:dyDescent="0.4">
      <c r="A33" s="8"/>
      <c r="B33" s="61"/>
      <c r="C33" s="62"/>
      <c r="D33" s="24"/>
      <c r="E33" s="25"/>
      <c r="F33" s="25"/>
      <c r="G33" s="25"/>
      <c r="H33" s="25"/>
      <c r="I33" s="25"/>
      <c r="J33" s="26"/>
      <c r="K33" s="2"/>
      <c r="L33" s="3"/>
      <c r="M33" s="4"/>
      <c r="N33" s="19"/>
      <c r="O33" s="53"/>
      <c r="P33" s="54"/>
      <c r="Q33" s="8"/>
      <c r="R33" s="8"/>
      <c r="S33" s="8"/>
      <c r="T33" s="8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spans="1:30" s="1" customFormat="1" ht="24" customHeight="1" x14ac:dyDescent="0.4">
      <c r="A34" s="8"/>
      <c r="B34" s="61"/>
      <c r="C34" s="62"/>
      <c r="D34" s="24"/>
      <c r="E34" s="25"/>
      <c r="F34" s="25"/>
      <c r="G34" s="25"/>
      <c r="H34" s="25"/>
      <c r="I34" s="25"/>
      <c r="J34" s="26"/>
      <c r="K34" s="2"/>
      <c r="L34" s="3"/>
      <c r="M34" s="4"/>
      <c r="N34" s="19"/>
      <c r="O34" s="53"/>
      <c r="P34" s="54"/>
      <c r="Q34" s="8"/>
      <c r="R34" s="8"/>
      <c r="S34" s="8"/>
      <c r="T34" s="8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1:30" s="1" customFormat="1" ht="24" customHeight="1" x14ac:dyDescent="0.4">
      <c r="A35" s="8"/>
      <c r="B35" s="61"/>
      <c r="C35" s="62"/>
      <c r="D35" s="24"/>
      <c r="E35" s="25"/>
      <c r="F35" s="25"/>
      <c r="G35" s="25"/>
      <c r="H35" s="25"/>
      <c r="I35" s="25"/>
      <c r="J35" s="26"/>
      <c r="K35" s="2"/>
      <c r="L35" s="3"/>
      <c r="M35" s="4"/>
      <c r="N35" s="19"/>
      <c r="O35" s="53"/>
      <c r="P35" s="54"/>
      <c r="Q35" s="8"/>
      <c r="R35" s="8"/>
      <c r="S35" s="8"/>
      <c r="T35" s="8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spans="1:30" s="1" customFormat="1" ht="24" customHeight="1" x14ac:dyDescent="0.4">
      <c r="A36" s="8"/>
      <c r="B36" s="61"/>
      <c r="C36" s="62"/>
      <c r="D36" s="24"/>
      <c r="E36" s="25"/>
      <c r="F36" s="25"/>
      <c r="G36" s="25"/>
      <c r="H36" s="25"/>
      <c r="I36" s="25"/>
      <c r="J36" s="26"/>
      <c r="K36" s="2"/>
      <c r="L36" s="3"/>
      <c r="M36" s="4"/>
      <c r="N36" s="19"/>
      <c r="O36" s="53"/>
      <c r="P36" s="54"/>
      <c r="Q36" s="8"/>
      <c r="R36" s="8"/>
      <c r="S36" s="8"/>
      <c r="T36" s="8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1:30" s="1" customFormat="1" ht="24" customHeight="1" x14ac:dyDescent="0.4">
      <c r="A37" s="8"/>
      <c r="B37" s="61"/>
      <c r="C37" s="62"/>
      <c r="D37" s="24"/>
      <c r="E37" s="25"/>
      <c r="F37" s="25"/>
      <c r="G37" s="25"/>
      <c r="H37" s="25"/>
      <c r="I37" s="25"/>
      <c r="J37" s="26"/>
      <c r="K37" s="2"/>
      <c r="L37" s="3"/>
      <c r="M37" s="4"/>
      <c r="N37" s="19"/>
      <c r="O37" s="53"/>
      <c r="P37" s="54"/>
      <c r="Q37" s="8"/>
      <c r="R37" s="8"/>
      <c r="S37" s="8"/>
      <c r="T37" s="8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 s="1" customFormat="1" ht="24" customHeight="1" x14ac:dyDescent="0.4">
      <c r="A38" s="8"/>
      <c r="B38" s="59"/>
      <c r="C38" s="60"/>
      <c r="D38" s="24"/>
      <c r="E38" s="25"/>
      <c r="F38" s="25"/>
      <c r="G38" s="25"/>
      <c r="H38" s="25"/>
      <c r="I38" s="25"/>
      <c r="J38" s="26"/>
      <c r="K38" s="2"/>
      <c r="L38" s="3"/>
      <c r="M38" s="4"/>
      <c r="N38" s="19"/>
      <c r="O38" s="53"/>
      <c r="P38" s="54"/>
      <c r="Q38" s="8"/>
      <c r="R38" s="8"/>
      <c r="S38" s="8"/>
      <c r="T38" s="8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1:30" s="1" customFormat="1" ht="24" customHeight="1" x14ac:dyDescent="0.4">
      <c r="A39" s="8"/>
      <c r="B39" s="55"/>
      <c r="C39" s="56"/>
      <c r="D39" s="24"/>
      <c r="E39" s="25"/>
      <c r="F39" s="25"/>
      <c r="G39" s="25"/>
      <c r="H39" s="25"/>
      <c r="I39" s="25"/>
      <c r="J39" s="26"/>
      <c r="K39" s="2"/>
      <c r="L39" s="3"/>
      <c r="M39" s="4"/>
      <c r="N39" s="19" t="str">
        <f t="shared" ref="N39:N45" si="1">IF(ISBLANK(B39),"",IF(K39="","10%","8%"))</f>
        <v/>
      </c>
      <c r="O39" s="53"/>
      <c r="P39" s="54"/>
      <c r="Q39" s="8"/>
      <c r="R39" s="8"/>
      <c r="S39" s="8"/>
      <c r="T39" s="8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30" s="1" customFormat="1" ht="24" customHeight="1" x14ac:dyDescent="0.4">
      <c r="A40" s="8"/>
      <c r="B40" s="55"/>
      <c r="C40" s="56"/>
      <c r="D40" s="24"/>
      <c r="E40" s="25"/>
      <c r="F40" s="25"/>
      <c r="G40" s="25"/>
      <c r="H40" s="25"/>
      <c r="I40" s="25"/>
      <c r="J40" s="26"/>
      <c r="K40" s="2"/>
      <c r="L40" s="3"/>
      <c r="M40" s="4"/>
      <c r="N40" s="19" t="str">
        <f t="shared" si="1"/>
        <v/>
      </c>
      <c r="O40" s="53"/>
      <c r="P40" s="54"/>
      <c r="Q40" s="8"/>
      <c r="R40" s="8"/>
      <c r="S40" s="8"/>
      <c r="T40" s="8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1:30" s="1" customFormat="1" ht="24" customHeight="1" x14ac:dyDescent="0.4">
      <c r="A41" s="8"/>
      <c r="B41" s="55"/>
      <c r="C41" s="56"/>
      <c r="D41" s="24"/>
      <c r="E41" s="25"/>
      <c r="F41" s="25"/>
      <c r="G41" s="25"/>
      <c r="H41" s="25"/>
      <c r="I41" s="25"/>
      <c r="J41" s="26"/>
      <c r="K41" s="2"/>
      <c r="L41" s="3"/>
      <c r="M41" s="4"/>
      <c r="N41" s="19" t="str">
        <f t="shared" si="1"/>
        <v/>
      </c>
      <c r="O41" s="53"/>
      <c r="P41" s="54"/>
      <c r="Q41" s="8"/>
      <c r="R41" s="8"/>
      <c r="S41" s="8"/>
      <c r="T41" s="8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 s="1" customFormat="1" ht="24" customHeight="1" x14ac:dyDescent="0.4">
      <c r="A42" s="8"/>
      <c r="B42" s="55"/>
      <c r="C42" s="56"/>
      <c r="D42" s="24"/>
      <c r="E42" s="25"/>
      <c r="F42" s="25"/>
      <c r="G42" s="25"/>
      <c r="H42" s="25"/>
      <c r="I42" s="25"/>
      <c r="J42" s="26"/>
      <c r="K42" s="2"/>
      <c r="L42" s="3"/>
      <c r="M42" s="4"/>
      <c r="N42" s="19" t="str">
        <f t="shared" si="1"/>
        <v/>
      </c>
      <c r="O42" s="53"/>
      <c r="P42" s="54"/>
      <c r="Q42" s="8"/>
      <c r="R42" s="8"/>
      <c r="S42" s="8"/>
      <c r="T42" s="8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 s="1" customFormat="1" ht="24" customHeight="1" x14ac:dyDescent="0.4">
      <c r="A43" s="8"/>
      <c r="B43" s="57"/>
      <c r="C43" s="58"/>
      <c r="D43" s="24"/>
      <c r="E43" s="25"/>
      <c r="F43" s="25"/>
      <c r="G43" s="25"/>
      <c r="H43" s="25"/>
      <c r="I43" s="25"/>
      <c r="J43" s="26"/>
      <c r="K43" s="2"/>
      <c r="L43" s="3"/>
      <c r="M43" s="4"/>
      <c r="N43" s="19" t="str">
        <f t="shared" si="1"/>
        <v/>
      </c>
      <c r="O43" s="53"/>
      <c r="P43" s="54"/>
      <c r="Q43" s="8"/>
      <c r="R43" s="8"/>
      <c r="S43" s="8"/>
      <c r="T43" s="8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1:30" s="1" customFormat="1" ht="24" customHeight="1" x14ac:dyDescent="0.4">
      <c r="A44" s="8"/>
      <c r="B44" s="44"/>
      <c r="C44" s="45"/>
      <c r="D44" s="24"/>
      <c r="E44" s="25"/>
      <c r="F44" s="25"/>
      <c r="G44" s="25"/>
      <c r="H44" s="25"/>
      <c r="I44" s="25"/>
      <c r="J44" s="26"/>
      <c r="K44" s="2"/>
      <c r="L44" s="3"/>
      <c r="M44" s="4"/>
      <c r="N44" s="19" t="str">
        <f t="shared" si="1"/>
        <v/>
      </c>
      <c r="O44" s="53"/>
      <c r="P44" s="54"/>
      <c r="Q44" s="8"/>
      <c r="R44" s="8"/>
      <c r="S44" s="8"/>
      <c r="T44" s="8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 s="1" customFormat="1" ht="24" customHeight="1" x14ac:dyDescent="0.4">
      <c r="A45" s="8"/>
      <c r="B45" s="57"/>
      <c r="C45" s="58"/>
      <c r="D45" s="24"/>
      <c r="E45" s="25"/>
      <c r="F45" s="25"/>
      <c r="G45" s="25"/>
      <c r="H45" s="25"/>
      <c r="I45" s="25"/>
      <c r="J45" s="26"/>
      <c r="K45" s="2"/>
      <c r="L45" s="3"/>
      <c r="M45" s="4"/>
      <c r="N45" s="19" t="str">
        <f t="shared" si="1"/>
        <v/>
      </c>
      <c r="O45" s="53"/>
      <c r="P45" s="54"/>
      <c r="Q45" s="8"/>
      <c r="R45" s="8"/>
      <c r="S45" s="8"/>
      <c r="T45" s="8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1:30" s="1" customFormat="1" ht="24" customHeight="1" x14ac:dyDescent="0.4">
      <c r="A46" s="8"/>
      <c r="B46" s="44"/>
      <c r="C46" s="45"/>
      <c r="D46" s="24"/>
      <c r="E46" s="25"/>
      <c r="F46" s="25"/>
      <c r="G46" s="25"/>
      <c r="H46" s="25"/>
      <c r="I46" s="25"/>
      <c r="J46" s="26"/>
      <c r="K46" s="2"/>
      <c r="L46" s="3"/>
      <c r="M46" s="4"/>
      <c r="N46" s="19" t="str">
        <f t="shared" ref="N46:N48" si="2">IF(ISBLANK(B46),"",IF(K46="","10%","8%"))</f>
        <v/>
      </c>
      <c r="O46" s="46"/>
      <c r="P46" s="46"/>
      <c r="Q46" s="8"/>
      <c r="R46" s="8"/>
      <c r="S46" s="8"/>
      <c r="T46" s="8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 s="1" customFormat="1" ht="24" customHeight="1" x14ac:dyDescent="0.4">
      <c r="A47" s="8"/>
      <c r="B47" s="57"/>
      <c r="C47" s="58"/>
      <c r="D47" s="24"/>
      <c r="E47" s="25"/>
      <c r="F47" s="25"/>
      <c r="G47" s="25"/>
      <c r="H47" s="25"/>
      <c r="I47" s="25"/>
      <c r="J47" s="26"/>
      <c r="K47" s="2"/>
      <c r="L47" s="3"/>
      <c r="M47" s="4"/>
      <c r="N47" s="19" t="str">
        <f t="shared" si="2"/>
        <v/>
      </c>
      <c r="O47" s="53"/>
      <c r="P47" s="54"/>
      <c r="Q47" s="8"/>
      <c r="R47" s="8"/>
      <c r="S47" s="8"/>
      <c r="T47" s="8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 spans="1:30" s="1" customFormat="1" ht="24" customHeight="1" x14ac:dyDescent="0.4">
      <c r="A48" s="8"/>
      <c r="B48" s="44"/>
      <c r="C48" s="45"/>
      <c r="D48" s="24"/>
      <c r="E48" s="25"/>
      <c r="F48" s="25"/>
      <c r="G48" s="25"/>
      <c r="H48" s="25"/>
      <c r="I48" s="25"/>
      <c r="J48" s="26"/>
      <c r="K48" s="2"/>
      <c r="L48" s="3"/>
      <c r="M48" s="4"/>
      <c r="N48" s="19" t="str">
        <f t="shared" si="2"/>
        <v/>
      </c>
      <c r="O48" s="46"/>
      <c r="P48" s="46"/>
      <c r="Q48" s="8"/>
      <c r="R48" s="8"/>
      <c r="S48" s="8"/>
      <c r="T48" s="8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1:31" s="1" customFormat="1" ht="24" customHeight="1" x14ac:dyDescent="0.4">
      <c r="A49" s="8"/>
      <c r="B49" s="13" t="s">
        <v>16</v>
      </c>
      <c r="C49" s="13"/>
      <c r="D49" s="13"/>
      <c r="E49" s="13"/>
      <c r="F49" s="13"/>
      <c r="G49" s="13"/>
      <c r="H49" s="13"/>
      <c r="I49" s="13"/>
      <c r="J49" s="13"/>
      <c r="K49" s="13"/>
      <c r="L49" s="8"/>
      <c r="M49" s="13"/>
      <c r="N49" s="22" t="s">
        <v>40</v>
      </c>
      <c r="O49" s="47">
        <f>F51+F52</f>
        <v>17330</v>
      </c>
      <c r="P49" s="48"/>
      <c r="Q49" s="8"/>
      <c r="R49" s="8"/>
      <c r="S49" s="8"/>
      <c r="T49" s="8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1" s="1" customFormat="1" ht="24" customHeight="1" x14ac:dyDescent="0.4">
      <c r="A50" s="8"/>
      <c r="B50" s="49" t="s">
        <v>12</v>
      </c>
      <c r="C50" s="50"/>
      <c r="D50" s="50" t="s">
        <v>38</v>
      </c>
      <c r="E50" s="50"/>
      <c r="F50" s="51" t="s">
        <v>37</v>
      </c>
      <c r="G50" s="52"/>
      <c r="H50" s="13"/>
      <c r="I50" s="13"/>
      <c r="J50" s="13"/>
      <c r="K50" s="13"/>
      <c r="L50" s="13"/>
      <c r="M50" s="13"/>
      <c r="N50" s="22" t="s">
        <v>39</v>
      </c>
      <c r="O50" s="30">
        <f>SUM(D51:E52)</f>
        <v>1326.4814814814818</v>
      </c>
      <c r="P50" s="31"/>
      <c r="Q50" s="8"/>
      <c r="R50" s="8"/>
      <c r="S50" s="8"/>
      <c r="T50" s="8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1" s="1" customFormat="1" ht="24" customHeight="1" x14ac:dyDescent="0.4">
      <c r="A51" s="8"/>
      <c r="B51" s="27" t="s">
        <v>14</v>
      </c>
      <c r="C51" s="28"/>
      <c r="D51" s="29">
        <f>F51-(F51/1.08)</f>
        <v>1161.4814814814818</v>
      </c>
      <c r="E51" s="29"/>
      <c r="F51" s="30">
        <f>O21+O23+O25+O27+O29+O31+O33+L28+O35+O37+O39</f>
        <v>15680</v>
      </c>
      <c r="G51" s="31"/>
      <c r="H51" s="13"/>
      <c r="I51" s="13"/>
      <c r="J51" s="13"/>
      <c r="K51" s="13"/>
      <c r="L51" s="13"/>
      <c r="M51" s="13"/>
      <c r="N51" s="8"/>
      <c r="O51" s="8"/>
      <c r="P51" s="8"/>
      <c r="Q51" s="8"/>
      <c r="R51" s="5"/>
      <c r="S51" s="5"/>
      <c r="T51" s="8"/>
      <c r="U51" s="5"/>
      <c r="V51" s="5"/>
      <c r="W51" s="5"/>
      <c r="X51" s="5"/>
      <c r="Y51" s="5"/>
      <c r="Z51" s="5"/>
      <c r="AA51" s="5"/>
    </row>
    <row r="52" spans="1:31" s="1" customFormat="1" ht="24" customHeight="1" x14ac:dyDescent="0.4">
      <c r="A52" s="8"/>
      <c r="B52" s="27" t="s">
        <v>13</v>
      </c>
      <c r="C52" s="28"/>
      <c r="D52" s="29">
        <f>F52/10</f>
        <v>165</v>
      </c>
      <c r="E52" s="29"/>
      <c r="F52" s="30">
        <f>O22+O24+O26+O28+O30+O32+O34+O36+O38+O40</f>
        <v>1650</v>
      </c>
      <c r="G52" s="31"/>
      <c r="H52" s="13"/>
      <c r="I52" s="13"/>
      <c r="J52" s="13"/>
      <c r="K52" s="13"/>
      <c r="L52" s="13"/>
      <c r="M52" s="13"/>
      <c r="N52" s="14"/>
      <c r="O52" s="7"/>
      <c r="P52" s="7"/>
      <c r="Q52" s="7"/>
      <c r="R52" s="8"/>
      <c r="S52" s="8"/>
      <c r="T52" s="8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</row>
    <row r="53" spans="1:31" s="1" customFormat="1" ht="18.95" customHeight="1" x14ac:dyDescent="0.4">
      <c r="A53" s="8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4"/>
      <c r="O53" s="14"/>
      <c r="P53" s="14"/>
      <c r="Q53" s="14"/>
      <c r="R53" s="8"/>
      <c r="S53" s="8"/>
      <c r="T53" s="8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</row>
    <row r="54" spans="1:31" s="1" customFormat="1" ht="33" customHeight="1" x14ac:dyDescent="0.4">
      <c r="A54" s="8"/>
      <c r="B54" s="41" t="s">
        <v>15</v>
      </c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3"/>
      <c r="R54" s="8"/>
      <c r="S54" s="8"/>
      <c r="T54" s="8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</row>
    <row r="55" spans="1:31" s="1" customFormat="1" ht="33" customHeight="1" x14ac:dyDescent="0.4">
      <c r="A55" s="8"/>
      <c r="B55" s="32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4"/>
      <c r="R55" s="8"/>
      <c r="S55" s="8"/>
      <c r="T55" s="8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</row>
    <row r="56" spans="1:31" s="1" customFormat="1" ht="33" customHeight="1" x14ac:dyDescent="0.4">
      <c r="A56" s="8"/>
      <c r="B56" s="35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7"/>
      <c r="R56" s="8"/>
      <c r="S56" s="8"/>
      <c r="T56" s="8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</row>
    <row r="57" spans="1:31" s="1" customFormat="1" ht="33" customHeight="1" x14ac:dyDescent="0.4">
      <c r="A57" s="5"/>
      <c r="B57" s="38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40"/>
      <c r="R57" s="8"/>
      <c r="S57" s="8"/>
      <c r="T57" s="8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</row>
    <row r="58" spans="1:31" ht="33" customHeight="1" x14ac:dyDescent="0.4"/>
    <row r="59" spans="1:31" ht="33" customHeight="1" x14ac:dyDescent="0.4"/>
    <row r="60" spans="1:31" ht="33" customHeight="1" x14ac:dyDescent="0.4"/>
    <row r="61" spans="1:31" ht="33" customHeight="1" x14ac:dyDescent="0.4"/>
    <row r="62" spans="1:31" ht="33" customHeight="1" x14ac:dyDescent="0.4"/>
    <row r="63" spans="1:31" ht="33" customHeight="1" x14ac:dyDescent="0.4"/>
    <row r="64" spans="1:31" ht="33" customHeight="1" x14ac:dyDescent="0.4"/>
    <row r="65" ht="33" customHeight="1" x14ac:dyDescent="0.4"/>
    <row r="66" ht="33" customHeight="1" x14ac:dyDescent="0.4"/>
    <row r="67" ht="33" customHeight="1" x14ac:dyDescent="0.4"/>
    <row r="68" ht="33" customHeight="1" x14ac:dyDescent="0.4"/>
    <row r="69" ht="33" customHeight="1" x14ac:dyDescent="0.4"/>
    <row r="70" ht="33" customHeight="1" x14ac:dyDescent="0.4"/>
    <row r="71" ht="33" customHeight="1" x14ac:dyDescent="0.4"/>
    <row r="72" ht="33" hidden="1" customHeight="1" x14ac:dyDescent="0.4"/>
    <row r="73" ht="33" hidden="1" customHeight="1" x14ac:dyDescent="0.4"/>
    <row r="74" hidden="1" x14ac:dyDescent="0.4"/>
  </sheetData>
  <mergeCells count="120">
    <mergeCell ref="B2:Q2"/>
    <mergeCell ref="O4:Q4"/>
    <mergeCell ref="O5:Q5"/>
    <mergeCell ref="B6:I6"/>
    <mergeCell ref="O6:Q6"/>
    <mergeCell ref="C17:H17"/>
    <mergeCell ref="B20:C20"/>
    <mergeCell ref="D20:J20"/>
    <mergeCell ref="B11:J11"/>
    <mergeCell ref="N11:Q11"/>
    <mergeCell ref="B7:J7"/>
    <mergeCell ref="B8:J8"/>
    <mergeCell ref="M8:Q8"/>
    <mergeCell ref="B9:J9"/>
    <mergeCell ref="M9:Q9"/>
    <mergeCell ref="B10:J10"/>
    <mergeCell ref="N10:Q10"/>
    <mergeCell ref="B21:C21"/>
    <mergeCell ref="D21:J21"/>
    <mergeCell ref="B12:J13"/>
    <mergeCell ref="N12:Q12"/>
    <mergeCell ref="B15:B16"/>
    <mergeCell ref="C15:H15"/>
    <mergeCell ref="C16:H16"/>
    <mergeCell ref="B24:C24"/>
    <mergeCell ref="D24:J24"/>
    <mergeCell ref="O20:P20"/>
    <mergeCell ref="O21:P21"/>
    <mergeCell ref="B25:C25"/>
    <mergeCell ref="D25:J25"/>
    <mergeCell ref="B22:C22"/>
    <mergeCell ref="D22:J22"/>
    <mergeCell ref="B23:C23"/>
    <mergeCell ref="D23:J23"/>
    <mergeCell ref="O22:P22"/>
    <mergeCell ref="O23:P23"/>
    <mergeCell ref="O24:P24"/>
    <mergeCell ref="O25:P25"/>
    <mergeCell ref="B28:C28"/>
    <mergeCell ref="D28:J28"/>
    <mergeCell ref="B29:C29"/>
    <mergeCell ref="D29:J29"/>
    <mergeCell ref="B26:C26"/>
    <mergeCell ref="D26:J26"/>
    <mergeCell ref="B27:C27"/>
    <mergeCell ref="D27:J27"/>
    <mergeCell ref="O26:P26"/>
    <mergeCell ref="O27:P27"/>
    <mergeCell ref="O28:P28"/>
    <mergeCell ref="O29:P29"/>
    <mergeCell ref="B32:C32"/>
    <mergeCell ref="D32:J32"/>
    <mergeCell ref="B33:C33"/>
    <mergeCell ref="D33:J33"/>
    <mergeCell ref="B30:C30"/>
    <mergeCell ref="D30:J30"/>
    <mergeCell ref="B31:C31"/>
    <mergeCell ref="D31:J31"/>
    <mergeCell ref="O30:P30"/>
    <mergeCell ref="O31:P31"/>
    <mergeCell ref="O32:P32"/>
    <mergeCell ref="O33:P33"/>
    <mergeCell ref="B36:C36"/>
    <mergeCell ref="D36:J36"/>
    <mergeCell ref="B37:C37"/>
    <mergeCell ref="D37:J37"/>
    <mergeCell ref="B34:C34"/>
    <mergeCell ref="D34:J34"/>
    <mergeCell ref="B35:C35"/>
    <mergeCell ref="D35:J35"/>
    <mergeCell ref="O34:P34"/>
    <mergeCell ref="O35:P35"/>
    <mergeCell ref="O36:P36"/>
    <mergeCell ref="O37:P37"/>
    <mergeCell ref="B40:C40"/>
    <mergeCell ref="D40:J40"/>
    <mergeCell ref="B41:C41"/>
    <mergeCell ref="D41:J41"/>
    <mergeCell ref="B38:C38"/>
    <mergeCell ref="D38:J38"/>
    <mergeCell ref="B39:C39"/>
    <mergeCell ref="D39:J39"/>
    <mergeCell ref="O38:P38"/>
    <mergeCell ref="O39:P39"/>
    <mergeCell ref="O40:P40"/>
    <mergeCell ref="O41:P41"/>
    <mergeCell ref="B42:C42"/>
    <mergeCell ref="D42:J42"/>
    <mergeCell ref="B43:C43"/>
    <mergeCell ref="D43:J43"/>
    <mergeCell ref="O42:P42"/>
    <mergeCell ref="O43:P43"/>
    <mergeCell ref="O44:P44"/>
    <mergeCell ref="O45:P45"/>
    <mergeCell ref="O46:P46"/>
    <mergeCell ref="B44:C44"/>
    <mergeCell ref="B45:C45"/>
    <mergeCell ref="D44:J44"/>
    <mergeCell ref="D45:J45"/>
    <mergeCell ref="B46:C46"/>
    <mergeCell ref="D46:J46"/>
    <mergeCell ref="B52:C52"/>
    <mergeCell ref="D52:E52"/>
    <mergeCell ref="F52:G52"/>
    <mergeCell ref="B55:Q57"/>
    <mergeCell ref="B54:Q54"/>
    <mergeCell ref="B50:C50"/>
    <mergeCell ref="D50:E50"/>
    <mergeCell ref="F50:G50"/>
    <mergeCell ref="B47:C47"/>
    <mergeCell ref="D47:J47"/>
    <mergeCell ref="B48:C48"/>
    <mergeCell ref="D48:J48"/>
    <mergeCell ref="O50:P50"/>
    <mergeCell ref="B51:C51"/>
    <mergeCell ref="D51:E51"/>
    <mergeCell ref="F51:G51"/>
    <mergeCell ref="O47:P47"/>
    <mergeCell ref="O48:P48"/>
    <mergeCell ref="O49:P49"/>
  </mergeCells>
  <phoneticPr fontId="1"/>
  <dataValidations count="2">
    <dataValidation type="date" operator="greaterThan" allowBlank="1" showInputMessage="1" showErrorMessage="1" errorTitle="日付の入力エラー" error="正しい日付を入力してください。" sqref="O4:Q5 B21:B48" xr:uid="{B94D6139-3948-478F-8997-722B981B2B11}">
      <formula1>1</formula1>
    </dataValidation>
    <dataValidation type="list" allowBlank="1" showInputMessage="1" showErrorMessage="1" sqref="K21:K48" xr:uid="{8619CD9B-9FC2-4D5F-80DB-6397436BC8B0}">
      <formula1>"※"</formula1>
    </dataValidation>
  </dataValidations>
  <printOptions horizontalCentered="1"/>
  <pageMargins left="0.70866141732283472" right="0.70866141732283472" top="0.55118110236220474" bottom="0.55118110236220474" header="0.31496062992125984" footer="0.31496062992125984"/>
  <pageSetup paperSize="9" scale="5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74"/>
  <sheetViews>
    <sheetView topLeftCell="A2" zoomScale="70" zoomScaleNormal="70" workbookViewId="0">
      <selection activeCell="C18" sqref="C18"/>
    </sheetView>
  </sheetViews>
  <sheetFormatPr defaultColWidth="0" defaultRowHeight="17.25" customHeight="1" zeroHeight="1" x14ac:dyDescent="0.4"/>
  <cols>
    <col min="1" max="1" width="2" style="5" customWidth="1"/>
    <col min="2" max="2" width="10.44140625" style="5" customWidth="1"/>
    <col min="3" max="3" width="6" style="5" customWidth="1"/>
    <col min="4" max="8" width="8" style="5" customWidth="1"/>
    <col min="9" max="10" width="7.44140625" style="5" customWidth="1"/>
    <col min="11" max="11" width="9.44140625" style="5" customWidth="1"/>
    <col min="12" max="13" width="8" style="5" customWidth="1"/>
    <col min="14" max="14" width="14.5546875" style="5" bestFit="1" customWidth="1"/>
    <col min="15" max="17" width="8" style="5" customWidth="1"/>
    <col min="18" max="19" width="8" style="5" hidden="1" customWidth="1"/>
    <col min="20" max="20" width="1.88671875" style="5" customWidth="1"/>
    <col min="21" max="22" width="10.6640625" style="5" customWidth="1"/>
    <col min="23" max="23" width="12.21875" style="5" bestFit="1" customWidth="1"/>
    <col min="24" max="31" width="10.6640625" style="5" customWidth="1"/>
    <col min="32" max="32" width="0" style="5" hidden="1" customWidth="1"/>
    <col min="33" max="16384" width="10.6640625" style="5" hidden="1"/>
  </cols>
  <sheetData>
    <row r="1" spans="1:31" s="1" customFormat="1" hidden="1" x14ac:dyDescent="0.4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s="1" customFormat="1" ht="53.1" customHeight="1" x14ac:dyDescent="0.4">
      <c r="A2" s="8"/>
      <c r="B2" s="86" t="s">
        <v>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"/>
      <c r="S2" s="8"/>
      <c r="T2" s="8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 s="1" customFormat="1" hidden="1" x14ac:dyDescent="0.4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 spans="1:31" s="1" customFormat="1" ht="30.95" customHeight="1" x14ac:dyDescent="0.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21" t="s">
        <v>1</v>
      </c>
      <c r="O4" s="87">
        <v>46234</v>
      </c>
      <c r="P4" s="87"/>
      <c r="Q4" s="87"/>
      <c r="R4" s="8"/>
      <c r="S4" s="8"/>
      <c r="T4" s="8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 spans="1:31" s="1" customFormat="1" ht="30.95" customHeight="1" x14ac:dyDescent="0.4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21" t="s">
        <v>3</v>
      </c>
      <c r="O5" s="88">
        <v>2370001017442</v>
      </c>
      <c r="P5" s="88"/>
      <c r="Q5" s="88"/>
      <c r="R5" s="8"/>
      <c r="S5" s="8"/>
      <c r="T5" s="8"/>
      <c r="U5" s="5"/>
      <c r="V5" s="5"/>
      <c r="W5" s="5"/>
      <c r="X5" s="5"/>
      <c r="Y5" s="5"/>
      <c r="Z5" s="5"/>
      <c r="AA5" s="5"/>
      <c r="AB5" s="5"/>
      <c r="AC5" s="5"/>
      <c r="AD5" s="5"/>
      <c r="AE5" s="5"/>
    </row>
    <row r="6" spans="1:31" s="1" customFormat="1" ht="30.95" customHeight="1" x14ac:dyDescent="0.4">
      <c r="A6" s="8"/>
      <c r="B6" s="89" t="s">
        <v>27</v>
      </c>
      <c r="C6" s="89"/>
      <c r="D6" s="89"/>
      <c r="E6" s="89"/>
      <c r="F6" s="89"/>
      <c r="G6" s="89"/>
      <c r="H6" s="89"/>
      <c r="I6" s="89"/>
      <c r="J6" s="18" t="s">
        <v>24</v>
      </c>
      <c r="M6" s="8"/>
      <c r="N6" s="21" t="s">
        <v>23</v>
      </c>
      <c r="O6" s="90"/>
      <c r="P6" s="90"/>
      <c r="Q6" s="90"/>
      <c r="R6" s="8"/>
      <c r="S6" s="8"/>
      <c r="T6" s="8"/>
      <c r="U6" s="5"/>
      <c r="V6" s="5"/>
      <c r="W6" s="5"/>
      <c r="X6" s="5"/>
      <c r="Y6" s="5"/>
      <c r="Z6" s="5"/>
      <c r="AA6" s="5"/>
      <c r="AB6" s="5"/>
      <c r="AC6" s="5"/>
      <c r="AD6" s="5"/>
      <c r="AE6" s="5"/>
    </row>
    <row r="7" spans="1:31" s="1" customFormat="1" ht="26.1" customHeight="1" x14ac:dyDescent="0.4">
      <c r="A7" s="8"/>
      <c r="B7" s="72"/>
      <c r="C7" s="72"/>
      <c r="D7" s="72"/>
      <c r="E7" s="72"/>
      <c r="F7" s="72"/>
      <c r="G7" s="72"/>
      <c r="H7" s="72"/>
      <c r="I7" s="72"/>
      <c r="J7" s="72"/>
      <c r="K7" s="8"/>
      <c r="L7" s="8"/>
      <c r="M7" s="8"/>
      <c r="N7" s="9"/>
      <c r="O7" s="10"/>
      <c r="P7" s="10"/>
      <c r="Q7" s="10"/>
      <c r="R7" s="8"/>
      <c r="S7" s="8"/>
      <c r="T7" s="8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r="8" spans="1:31" s="1" customFormat="1" ht="33.950000000000003" customHeight="1" x14ac:dyDescent="0.4">
      <c r="A8" s="8"/>
      <c r="B8" s="73"/>
      <c r="C8" s="73"/>
      <c r="D8" s="73"/>
      <c r="E8" s="73"/>
      <c r="F8" s="73"/>
      <c r="G8" s="73"/>
      <c r="H8" s="73"/>
      <c r="I8" s="73"/>
      <c r="J8" s="73"/>
      <c r="K8" s="8"/>
      <c r="L8" s="8"/>
      <c r="M8" s="74" t="s">
        <v>30</v>
      </c>
      <c r="N8" s="74"/>
      <c r="O8" s="74"/>
      <c r="P8" s="74"/>
      <c r="Q8" s="74"/>
      <c r="R8" s="8"/>
      <c r="S8" s="8"/>
      <c r="T8" s="8"/>
      <c r="U8" s="5"/>
      <c r="V8" s="5"/>
      <c r="W8" s="5"/>
      <c r="X8" s="5"/>
      <c r="Y8" s="5"/>
      <c r="Z8" s="5"/>
      <c r="AA8" s="5"/>
      <c r="AB8" s="5"/>
      <c r="AC8" s="5"/>
      <c r="AD8" s="5"/>
      <c r="AE8" s="5"/>
    </row>
    <row r="9" spans="1:31" s="1" customFormat="1" ht="30" customHeight="1" x14ac:dyDescent="0.4">
      <c r="A9" s="8"/>
      <c r="B9" s="75"/>
      <c r="C9" s="75"/>
      <c r="D9" s="75"/>
      <c r="E9" s="75"/>
      <c r="F9" s="75"/>
      <c r="G9" s="75"/>
      <c r="H9" s="75"/>
      <c r="I9" s="75"/>
      <c r="J9" s="75"/>
      <c r="K9" s="8"/>
      <c r="L9" s="8"/>
      <c r="M9" s="72" t="s">
        <v>33</v>
      </c>
      <c r="N9" s="72"/>
      <c r="O9" s="72"/>
      <c r="P9" s="72"/>
      <c r="Q9" s="72"/>
      <c r="R9" s="8"/>
      <c r="S9" s="8"/>
      <c r="T9" s="8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 spans="1:31" s="1" customFormat="1" ht="38.1" customHeight="1" x14ac:dyDescent="0.4">
      <c r="A10" s="8"/>
      <c r="B10" s="76" t="s">
        <v>5</v>
      </c>
      <c r="C10" s="76"/>
      <c r="D10" s="76"/>
      <c r="E10" s="76"/>
      <c r="F10" s="76"/>
      <c r="G10" s="76"/>
      <c r="H10" s="76"/>
      <c r="I10" s="76"/>
      <c r="J10" s="76"/>
      <c r="K10" s="12"/>
      <c r="L10" s="12"/>
      <c r="M10" s="11" t="s">
        <v>2</v>
      </c>
      <c r="N10" s="77" t="s">
        <v>34</v>
      </c>
      <c r="O10" s="78"/>
      <c r="P10" s="78"/>
      <c r="Q10" s="78"/>
      <c r="R10" s="8"/>
      <c r="S10" s="8"/>
      <c r="T10" s="8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</row>
    <row r="11" spans="1:31" s="1" customFormat="1" ht="30" customHeight="1" x14ac:dyDescent="0.4">
      <c r="A11" s="8"/>
      <c r="B11" s="91" t="s">
        <v>6</v>
      </c>
      <c r="C11" s="84"/>
      <c r="D11" s="84"/>
      <c r="E11" s="84"/>
      <c r="F11" s="84"/>
      <c r="G11" s="84"/>
      <c r="H11" s="84"/>
      <c r="I11" s="84"/>
      <c r="J11" s="92"/>
      <c r="K11" s="8"/>
      <c r="L11" s="8"/>
      <c r="M11" s="11" t="s">
        <v>4</v>
      </c>
      <c r="N11" s="78" t="s">
        <v>35</v>
      </c>
      <c r="O11" s="78"/>
      <c r="P11" s="78"/>
      <c r="Q11" s="78"/>
      <c r="R11" s="8"/>
      <c r="S11" s="8"/>
      <c r="T11" s="8"/>
      <c r="U11" s="5"/>
      <c r="V11" s="5"/>
      <c r="W11" s="20"/>
      <c r="X11" s="5"/>
      <c r="Y11" s="5"/>
      <c r="Z11" s="5"/>
      <c r="AA11" s="5"/>
      <c r="AB11" s="5"/>
      <c r="AC11" s="5"/>
      <c r="AD11" s="5"/>
      <c r="AE11" s="5"/>
    </row>
    <row r="12" spans="1:31" s="1" customFormat="1" ht="30" customHeight="1" x14ac:dyDescent="0.4">
      <c r="A12" s="8"/>
      <c r="B12" s="93">
        <f>O45</f>
        <v>36566</v>
      </c>
      <c r="C12" s="94"/>
      <c r="D12" s="94"/>
      <c r="E12" s="94"/>
      <c r="F12" s="94"/>
      <c r="G12" s="94"/>
      <c r="H12" s="94"/>
      <c r="I12" s="94"/>
      <c r="J12" s="95"/>
      <c r="K12" s="8"/>
      <c r="L12" s="8"/>
      <c r="M12" s="11" t="s">
        <v>19</v>
      </c>
      <c r="N12" s="78" t="s">
        <v>36</v>
      </c>
      <c r="O12" s="78"/>
      <c r="P12" s="78"/>
      <c r="Q12" s="78"/>
      <c r="R12" s="8"/>
      <c r="S12" s="8"/>
      <c r="T12" s="8"/>
      <c r="U12" s="5"/>
      <c r="V12" s="23">
        <f>ROUNDDOWN(B12+八乙女店!B12+川平1丁目店!B12+堤町店!B12+広瀬立町店!B12,0)</f>
        <v>153765</v>
      </c>
      <c r="W12" s="5"/>
      <c r="X12" s="5"/>
      <c r="Y12" s="5"/>
      <c r="Z12" s="5"/>
      <c r="AA12" s="5"/>
      <c r="AB12" s="5"/>
      <c r="AC12" s="5"/>
      <c r="AD12" s="5"/>
      <c r="AE12" s="5"/>
    </row>
    <row r="13" spans="1:31" s="1" customFormat="1" ht="32.1" customHeight="1" x14ac:dyDescent="0.4">
      <c r="A13" s="8"/>
      <c r="B13" s="96"/>
      <c r="C13" s="97"/>
      <c r="D13" s="97"/>
      <c r="E13" s="97"/>
      <c r="F13" s="97"/>
      <c r="G13" s="97"/>
      <c r="H13" s="97"/>
      <c r="I13" s="97"/>
      <c r="J13" s="98"/>
      <c r="K13" s="8"/>
      <c r="L13" s="8"/>
      <c r="M13" s="8"/>
      <c r="N13" s="8"/>
      <c r="O13" s="8"/>
      <c r="P13" s="8"/>
      <c r="Q13" s="8"/>
      <c r="R13" s="8"/>
      <c r="S13" s="8"/>
      <c r="T13" s="8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 spans="1:31" s="1" customFormat="1" ht="32.1" customHeight="1" x14ac:dyDescent="0.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 spans="1:31" s="1" customFormat="1" ht="24" customHeight="1" x14ac:dyDescent="0.4">
      <c r="A15" s="8"/>
      <c r="B15" s="64" t="s">
        <v>7</v>
      </c>
      <c r="C15" s="66" t="s">
        <v>31</v>
      </c>
      <c r="D15" s="67"/>
      <c r="E15" s="67"/>
      <c r="F15" s="67"/>
      <c r="G15" s="67"/>
      <c r="H15" s="6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 spans="1:31" s="1" customFormat="1" ht="24" customHeight="1" x14ac:dyDescent="0.4">
      <c r="A16" s="8"/>
      <c r="B16" s="65"/>
      <c r="C16" s="69" t="s">
        <v>32</v>
      </c>
      <c r="D16" s="70"/>
      <c r="E16" s="70"/>
      <c r="F16" s="70"/>
      <c r="G16" s="70"/>
      <c r="H16" s="71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 spans="1:31" s="1" customFormat="1" ht="24" customHeight="1" x14ac:dyDescent="0.4">
      <c r="A17" s="8"/>
      <c r="B17" s="15" t="s">
        <v>8</v>
      </c>
      <c r="C17" s="79">
        <v>46275</v>
      </c>
      <c r="D17" s="80"/>
      <c r="E17" s="80"/>
      <c r="F17" s="80"/>
      <c r="G17" s="80"/>
      <c r="H17" s="81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</row>
    <row r="18" spans="1:31" s="1" customFormat="1" ht="24" customHeight="1" x14ac:dyDescent="0.4">
      <c r="A18" s="8"/>
      <c r="B18" s="13" t="s">
        <v>17</v>
      </c>
      <c r="C18" s="13"/>
      <c r="D18" s="13"/>
      <c r="E18" s="13"/>
      <c r="F18" s="13"/>
      <c r="G18" s="13"/>
      <c r="H18" s="13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1" s="1" customFormat="1" ht="24" customHeight="1" x14ac:dyDescent="0.4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1" s="1" customFormat="1" ht="24" customHeight="1" x14ac:dyDescent="0.4">
      <c r="A20" s="8"/>
      <c r="B20" s="82" t="s">
        <v>20</v>
      </c>
      <c r="C20" s="63"/>
      <c r="D20" s="83" t="s">
        <v>21</v>
      </c>
      <c r="E20" s="84"/>
      <c r="F20" s="84"/>
      <c r="G20" s="84"/>
      <c r="H20" s="84"/>
      <c r="I20" s="84"/>
      <c r="J20" s="85"/>
      <c r="K20" s="17" t="s">
        <v>18</v>
      </c>
      <c r="L20" s="16" t="s">
        <v>11</v>
      </c>
      <c r="M20" s="16" t="s">
        <v>10</v>
      </c>
      <c r="N20" s="16" t="s">
        <v>9</v>
      </c>
      <c r="O20" s="63" t="s">
        <v>37</v>
      </c>
      <c r="P20" s="63"/>
      <c r="Q20" s="8"/>
      <c r="R20" s="8"/>
      <c r="S20" s="8"/>
      <c r="T20" s="8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1" s="1" customFormat="1" ht="24" customHeight="1" x14ac:dyDescent="0.4">
      <c r="A21" s="8"/>
      <c r="B21" s="57">
        <v>46196</v>
      </c>
      <c r="C21" s="58"/>
      <c r="D21" s="24" t="s">
        <v>25</v>
      </c>
      <c r="E21" s="25"/>
      <c r="F21" s="25"/>
      <c r="G21" s="25"/>
      <c r="H21" s="25"/>
      <c r="I21" s="25"/>
      <c r="J21" s="25"/>
      <c r="K21" s="6" t="s">
        <v>22</v>
      </c>
      <c r="L21" s="3">
        <v>1</v>
      </c>
      <c r="M21" s="4"/>
      <c r="N21" s="19" t="str">
        <f>IF(ISBLANK(B21),"",IF(K21="","10%","8%"))</f>
        <v>8%</v>
      </c>
      <c r="O21" s="53">
        <v>2338</v>
      </c>
      <c r="P21" s="54"/>
      <c r="Q21" s="8"/>
      <c r="R21" s="8"/>
      <c r="S21" s="8"/>
      <c r="T21" s="8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1" s="1" customFormat="1" ht="24" customHeight="1" x14ac:dyDescent="0.4">
      <c r="A22" s="8"/>
      <c r="B22" s="57">
        <v>46196</v>
      </c>
      <c r="C22" s="58"/>
      <c r="D22" s="24" t="s">
        <v>25</v>
      </c>
      <c r="E22" s="25"/>
      <c r="F22" s="25"/>
      <c r="G22" s="25"/>
      <c r="H22" s="25"/>
      <c r="I22" s="25"/>
      <c r="J22" s="26"/>
      <c r="K22" s="6"/>
      <c r="L22" s="3">
        <v>1</v>
      </c>
      <c r="M22" s="4"/>
      <c r="N22" s="19" t="str">
        <f>IF(ISBLANK(B22),"",IF(K22="","10%","8%"))</f>
        <v>10%</v>
      </c>
      <c r="O22" s="53">
        <v>550</v>
      </c>
      <c r="P22" s="54"/>
      <c r="Q22" s="8"/>
      <c r="R22" s="8"/>
      <c r="S22" s="8"/>
      <c r="T22" s="8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1" s="1" customFormat="1" ht="24" customHeight="1" x14ac:dyDescent="0.4">
      <c r="A23" s="8"/>
      <c r="B23" s="57">
        <v>46198</v>
      </c>
      <c r="C23" s="58"/>
      <c r="D23" s="24" t="s">
        <v>25</v>
      </c>
      <c r="E23" s="25"/>
      <c r="F23" s="25"/>
      <c r="G23" s="25"/>
      <c r="H23" s="25"/>
      <c r="I23" s="25"/>
      <c r="J23" s="26"/>
      <c r="K23" s="6" t="s">
        <v>22</v>
      </c>
      <c r="L23" s="3">
        <v>1</v>
      </c>
      <c r="M23" s="4"/>
      <c r="N23" s="19">
        <v>0.08</v>
      </c>
      <c r="O23" s="53">
        <v>818</v>
      </c>
      <c r="P23" s="54"/>
      <c r="Q23" s="8"/>
      <c r="R23" s="8"/>
      <c r="S23" s="8"/>
      <c r="T23" s="8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1" s="1" customFormat="1" ht="24" customHeight="1" x14ac:dyDescent="0.4">
      <c r="A24" s="8"/>
      <c r="B24" s="57">
        <v>46198</v>
      </c>
      <c r="C24" s="58"/>
      <c r="D24" s="24" t="s">
        <v>25</v>
      </c>
      <c r="E24" s="25"/>
      <c r="F24" s="25"/>
      <c r="G24" s="25"/>
      <c r="H24" s="25"/>
      <c r="I24" s="25"/>
      <c r="J24" s="26"/>
      <c r="K24" s="6"/>
      <c r="L24" s="3">
        <v>1</v>
      </c>
      <c r="M24" s="4"/>
      <c r="N24" s="19">
        <v>0.1</v>
      </c>
      <c r="O24" s="53">
        <v>550</v>
      </c>
      <c r="P24" s="54"/>
      <c r="Q24" s="8"/>
      <c r="R24" s="8"/>
      <c r="S24" s="8"/>
      <c r="T24" s="8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1" s="1" customFormat="1" ht="24" customHeight="1" x14ac:dyDescent="0.4">
      <c r="A25" s="8"/>
      <c r="B25" s="57">
        <v>46199</v>
      </c>
      <c r="C25" s="58"/>
      <c r="D25" s="24" t="s">
        <v>25</v>
      </c>
      <c r="E25" s="25"/>
      <c r="F25" s="25"/>
      <c r="G25" s="25"/>
      <c r="H25" s="25"/>
      <c r="I25" s="25"/>
      <c r="J25" s="26"/>
      <c r="K25" s="6" t="s">
        <v>22</v>
      </c>
      <c r="L25" s="3">
        <v>1</v>
      </c>
      <c r="M25" s="4"/>
      <c r="N25" s="19">
        <v>0.08</v>
      </c>
      <c r="O25" s="53">
        <v>18882</v>
      </c>
      <c r="P25" s="54"/>
      <c r="Q25" s="8"/>
      <c r="R25" s="8"/>
      <c r="S25" s="8"/>
      <c r="T25" s="8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1" s="1" customFormat="1" ht="24" customHeight="1" x14ac:dyDescent="0.4">
      <c r="A26" s="8"/>
      <c r="B26" s="57">
        <v>46199</v>
      </c>
      <c r="C26" s="58"/>
      <c r="D26" s="24" t="s">
        <v>25</v>
      </c>
      <c r="E26" s="25"/>
      <c r="F26" s="25"/>
      <c r="G26" s="25"/>
      <c r="H26" s="25"/>
      <c r="I26" s="25"/>
      <c r="J26" s="26"/>
      <c r="K26" s="6"/>
      <c r="L26" s="3">
        <v>1</v>
      </c>
      <c r="M26" s="4"/>
      <c r="N26" s="19">
        <v>0.1</v>
      </c>
      <c r="O26" s="53">
        <v>550</v>
      </c>
      <c r="P26" s="54"/>
      <c r="Q26" s="8"/>
      <c r="R26" s="8"/>
      <c r="S26" s="8"/>
      <c r="T26" s="8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1" s="1" customFormat="1" ht="24" customHeight="1" x14ac:dyDescent="0.4">
      <c r="A27" s="8"/>
      <c r="B27" s="57">
        <v>46203</v>
      </c>
      <c r="C27" s="58"/>
      <c r="D27" s="24" t="s">
        <v>25</v>
      </c>
      <c r="E27" s="25"/>
      <c r="F27" s="25"/>
      <c r="G27" s="25"/>
      <c r="H27" s="25"/>
      <c r="I27" s="25"/>
      <c r="J27" s="26"/>
      <c r="K27" s="6" t="s">
        <v>22</v>
      </c>
      <c r="L27" s="3">
        <v>1</v>
      </c>
      <c r="M27" s="4"/>
      <c r="N27" s="19">
        <v>0.08</v>
      </c>
      <c r="O27" s="53">
        <v>1312</v>
      </c>
      <c r="P27" s="54"/>
      <c r="Q27" s="8"/>
      <c r="R27" s="8"/>
      <c r="S27" s="8"/>
      <c r="T27" s="8"/>
    </row>
    <row r="28" spans="1:31" s="1" customFormat="1" ht="24" customHeight="1" x14ac:dyDescent="0.4">
      <c r="A28" s="8"/>
      <c r="B28" s="57">
        <v>46203</v>
      </c>
      <c r="C28" s="58"/>
      <c r="D28" s="24" t="s">
        <v>25</v>
      </c>
      <c r="E28" s="25"/>
      <c r="F28" s="25"/>
      <c r="G28" s="25"/>
      <c r="H28" s="25"/>
      <c r="I28" s="25"/>
      <c r="J28" s="26"/>
      <c r="K28" s="2"/>
      <c r="L28" s="3">
        <v>1</v>
      </c>
      <c r="M28" s="4"/>
      <c r="N28" s="19">
        <v>0.1</v>
      </c>
      <c r="O28" s="53">
        <v>550</v>
      </c>
      <c r="P28" s="54"/>
      <c r="Q28" s="8"/>
      <c r="R28" s="8"/>
      <c r="S28" s="8"/>
      <c r="T28" s="8"/>
    </row>
    <row r="29" spans="1:31" s="1" customFormat="1" ht="24" customHeight="1" x14ac:dyDescent="0.4">
      <c r="A29" s="8"/>
      <c r="B29" s="57">
        <v>46205</v>
      </c>
      <c r="C29" s="58"/>
      <c r="D29" s="24" t="s">
        <v>25</v>
      </c>
      <c r="E29" s="25"/>
      <c r="F29" s="25"/>
      <c r="G29" s="25"/>
      <c r="H29" s="25"/>
      <c r="I29" s="25"/>
      <c r="J29" s="26"/>
      <c r="K29" s="2" t="s">
        <v>22</v>
      </c>
      <c r="L29" s="3">
        <v>1</v>
      </c>
      <c r="M29" s="4"/>
      <c r="N29" s="19">
        <v>0.08</v>
      </c>
      <c r="O29" s="53">
        <v>1728</v>
      </c>
      <c r="P29" s="54"/>
      <c r="Q29" s="8"/>
      <c r="R29" s="8"/>
      <c r="S29" s="8"/>
      <c r="T29" s="8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1" s="1" customFormat="1" ht="24" customHeight="1" x14ac:dyDescent="0.4">
      <c r="A30" s="8"/>
      <c r="B30" s="57">
        <v>46205</v>
      </c>
      <c r="C30" s="58"/>
      <c r="D30" s="24" t="s">
        <v>25</v>
      </c>
      <c r="E30" s="25"/>
      <c r="F30" s="25"/>
      <c r="G30" s="25"/>
      <c r="H30" s="25"/>
      <c r="I30" s="25"/>
      <c r="J30" s="26"/>
      <c r="K30" s="2"/>
      <c r="L30" s="3">
        <v>1</v>
      </c>
      <c r="M30" s="4"/>
      <c r="N30" s="19">
        <v>0.1</v>
      </c>
      <c r="O30" s="53">
        <v>550</v>
      </c>
      <c r="P30" s="54"/>
      <c r="Q30" s="8"/>
      <c r="R30" s="8"/>
      <c r="S30" s="8"/>
      <c r="T30" s="8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1" s="1" customFormat="1" ht="24" customHeight="1" x14ac:dyDescent="0.4">
      <c r="A31" s="8"/>
      <c r="B31" s="57">
        <v>46212</v>
      </c>
      <c r="C31" s="58"/>
      <c r="D31" s="24" t="s">
        <v>25</v>
      </c>
      <c r="E31" s="25"/>
      <c r="F31" s="25"/>
      <c r="G31" s="25"/>
      <c r="H31" s="25"/>
      <c r="I31" s="25"/>
      <c r="J31" s="26"/>
      <c r="K31" s="2" t="s">
        <v>22</v>
      </c>
      <c r="L31" s="3">
        <v>1</v>
      </c>
      <c r="M31" s="4"/>
      <c r="N31" s="19">
        <v>0.08</v>
      </c>
      <c r="O31" s="53">
        <v>2978</v>
      </c>
      <c r="P31" s="54"/>
      <c r="Q31" s="8"/>
      <c r="R31" s="8"/>
      <c r="S31" s="8"/>
      <c r="T31" s="8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1:31" s="1" customFormat="1" ht="24" customHeight="1" x14ac:dyDescent="0.4">
      <c r="A32" s="8"/>
      <c r="B32" s="57">
        <v>46212</v>
      </c>
      <c r="C32" s="58"/>
      <c r="D32" s="24" t="s">
        <v>25</v>
      </c>
      <c r="E32" s="25"/>
      <c r="F32" s="25"/>
      <c r="G32" s="25"/>
      <c r="H32" s="25"/>
      <c r="I32" s="25"/>
      <c r="J32" s="26"/>
      <c r="K32" s="2"/>
      <c r="L32" s="3">
        <v>1</v>
      </c>
      <c r="M32" s="4"/>
      <c r="N32" s="19">
        <v>0.1</v>
      </c>
      <c r="O32" s="53">
        <v>550</v>
      </c>
      <c r="P32" s="54"/>
      <c r="Q32" s="8"/>
      <c r="R32" s="8"/>
      <c r="S32" s="8"/>
      <c r="T32" s="8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spans="1:30" s="1" customFormat="1" ht="24" customHeight="1" x14ac:dyDescent="0.4">
      <c r="A33" s="8"/>
      <c r="B33" s="57">
        <v>46217</v>
      </c>
      <c r="C33" s="58"/>
      <c r="D33" s="24" t="s">
        <v>25</v>
      </c>
      <c r="E33" s="25"/>
      <c r="F33" s="25"/>
      <c r="G33" s="25"/>
      <c r="H33" s="25"/>
      <c r="I33" s="25"/>
      <c r="J33" s="26"/>
      <c r="K33" s="2" t="s">
        <v>22</v>
      </c>
      <c r="L33" s="3">
        <v>1</v>
      </c>
      <c r="M33" s="4"/>
      <c r="N33" s="19">
        <v>0.08</v>
      </c>
      <c r="O33" s="53">
        <v>2278</v>
      </c>
      <c r="P33" s="54"/>
      <c r="Q33" s="8"/>
      <c r="R33" s="8"/>
      <c r="S33" s="8"/>
      <c r="T33" s="8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spans="1:30" s="1" customFormat="1" ht="24" customHeight="1" x14ac:dyDescent="0.4">
      <c r="A34" s="8"/>
      <c r="B34" s="57">
        <v>46217</v>
      </c>
      <c r="C34" s="58"/>
      <c r="D34" s="24" t="s">
        <v>25</v>
      </c>
      <c r="E34" s="25"/>
      <c r="F34" s="25"/>
      <c r="G34" s="25"/>
      <c r="H34" s="25"/>
      <c r="I34" s="25"/>
      <c r="J34" s="26"/>
      <c r="K34" s="2"/>
      <c r="L34" s="3">
        <v>1</v>
      </c>
      <c r="M34" s="4"/>
      <c r="N34" s="19">
        <v>0.1</v>
      </c>
      <c r="O34" s="53">
        <v>550</v>
      </c>
      <c r="P34" s="54"/>
      <c r="Q34" s="8"/>
      <c r="R34" s="8"/>
      <c r="S34" s="8"/>
      <c r="T34" s="8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1:30" s="1" customFormat="1" ht="24" customHeight="1" x14ac:dyDescent="0.4">
      <c r="A35" s="8"/>
      <c r="B35" s="57">
        <v>46219</v>
      </c>
      <c r="C35" s="58"/>
      <c r="D35" s="24" t="s">
        <v>25</v>
      </c>
      <c r="E35" s="25"/>
      <c r="F35" s="25"/>
      <c r="G35" s="25"/>
      <c r="H35" s="25"/>
      <c r="I35" s="25"/>
      <c r="J35" s="26"/>
      <c r="K35" s="2" t="s">
        <v>22</v>
      </c>
      <c r="L35" s="3">
        <v>1</v>
      </c>
      <c r="M35" s="4"/>
      <c r="N35" s="19">
        <v>0.08</v>
      </c>
      <c r="O35" s="53">
        <v>1832</v>
      </c>
      <c r="P35" s="54"/>
      <c r="Q35" s="8"/>
      <c r="R35" s="8"/>
      <c r="S35" s="8"/>
      <c r="T35" s="8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spans="1:30" s="1" customFormat="1" ht="24" customHeight="1" x14ac:dyDescent="0.4">
      <c r="A36" s="8"/>
      <c r="B36" s="57">
        <v>46219</v>
      </c>
      <c r="C36" s="58"/>
      <c r="D36" s="24" t="s">
        <v>25</v>
      </c>
      <c r="E36" s="25"/>
      <c r="F36" s="25"/>
      <c r="G36" s="25"/>
      <c r="H36" s="25"/>
      <c r="I36" s="25"/>
      <c r="J36" s="26"/>
      <c r="K36" s="2"/>
      <c r="L36" s="3">
        <v>1</v>
      </c>
      <c r="M36" s="4"/>
      <c r="N36" s="19">
        <v>0.1</v>
      </c>
      <c r="O36" s="53">
        <v>550</v>
      </c>
      <c r="P36" s="54"/>
      <c r="Q36" s="8"/>
      <c r="R36" s="8"/>
      <c r="S36" s="8"/>
      <c r="T36" s="8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1:30" s="1" customFormat="1" ht="24" customHeight="1" x14ac:dyDescent="0.4">
      <c r="A37" s="8"/>
      <c r="B37" s="57"/>
      <c r="C37" s="58"/>
      <c r="D37" s="24"/>
      <c r="E37" s="25"/>
      <c r="F37" s="25"/>
      <c r="G37" s="25"/>
      <c r="H37" s="25"/>
      <c r="I37" s="25"/>
      <c r="J37" s="26"/>
      <c r="K37" s="2"/>
      <c r="L37" s="3"/>
      <c r="M37" s="4"/>
      <c r="N37" s="19"/>
      <c r="O37" s="53"/>
      <c r="P37" s="54"/>
      <c r="Q37" s="8"/>
      <c r="R37" s="8"/>
      <c r="S37" s="8"/>
      <c r="T37" s="8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 s="1" customFormat="1" ht="24" customHeight="1" x14ac:dyDescent="0.4">
      <c r="A38" s="8"/>
      <c r="B38" s="57"/>
      <c r="C38" s="58"/>
      <c r="D38" s="24"/>
      <c r="E38" s="25"/>
      <c r="F38" s="25"/>
      <c r="G38" s="25"/>
      <c r="H38" s="25"/>
      <c r="I38" s="25"/>
      <c r="J38" s="26"/>
      <c r="K38" s="2"/>
      <c r="L38" s="3"/>
      <c r="M38" s="4"/>
      <c r="N38" s="19"/>
      <c r="O38" s="53"/>
      <c r="P38" s="54"/>
      <c r="Q38" s="8"/>
      <c r="R38" s="8"/>
      <c r="S38" s="8"/>
      <c r="T38" s="8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1:30" s="1" customFormat="1" ht="24" customHeight="1" x14ac:dyDescent="0.4">
      <c r="A39" s="8"/>
      <c r="B39" s="57"/>
      <c r="C39" s="58"/>
      <c r="D39" s="24"/>
      <c r="E39" s="25"/>
      <c r="F39" s="25"/>
      <c r="G39" s="25"/>
      <c r="H39" s="25"/>
      <c r="I39" s="25"/>
      <c r="J39" s="26"/>
      <c r="K39" s="2"/>
      <c r="L39" s="3"/>
      <c r="M39" s="4"/>
      <c r="N39" s="19" t="str">
        <f t="shared" ref="N39:N41" si="0">IF(ISBLANK(B39),"",IF(K39="","10%","8%"))</f>
        <v/>
      </c>
      <c r="O39" s="53"/>
      <c r="P39" s="54"/>
      <c r="Q39" s="8"/>
      <c r="R39" s="8"/>
      <c r="S39" s="8"/>
      <c r="T39" s="8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30" s="1" customFormat="1" ht="24" customHeight="1" x14ac:dyDescent="0.4">
      <c r="A40" s="8"/>
      <c r="B40" s="44"/>
      <c r="C40" s="45"/>
      <c r="D40" s="24"/>
      <c r="E40" s="25"/>
      <c r="F40" s="25"/>
      <c r="G40" s="25"/>
      <c r="H40" s="25"/>
      <c r="I40" s="25"/>
      <c r="J40" s="26"/>
      <c r="K40" s="2"/>
      <c r="L40" s="3"/>
      <c r="M40" s="4"/>
      <c r="N40" s="19" t="str">
        <f t="shared" si="0"/>
        <v/>
      </c>
      <c r="O40" s="53"/>
      <c r="P40" s="54"/>
      <c r="Q40" s="8"/>
      <c r="R40" s="8"/>
      <c r="S40" s="8"/>
      <c r="T40" s="8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1:30" s="1" customFormat="1" ht="24" customHeight="1" x14ac:dyDescent="0.4">
      <c r="A41" s="8"/>
      <c r="B41" s="57"/>
      <c r="C41" s="58"/>
      <c r="D41" s="24"/>
      <c r="E41" s="25"/>
      <c r="F41" s="25"/>
      <c r="G41" s="25"/>
      <c r="H41" s="25"/>
      <c r="I41" s="25"/>
      <c r="J41" s="26"/>
      <c r="K41" s="2"/>
      <c r="L41" s="3"/>
      <c r="M41" s="4"/>
      <c r="N41" s="19" t="str">
        <f t="shared" si="0"/>
        <v/>
      </c>
      <c r="O41" s="53"/>
      <c r="P41" s="54"/>
      <c r="Q41" s="8"/>
      <c r="R41" s="8"/>
      <c r="S41" s="8"/>
      <c r="T41" s="8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 s="1" customFormat="1" ht="24" customHeight="1" x14ac:dyDescent="0.4">
      <c r="A42" s="8"/>
      <c r="B42" s="44"/>
      <c r="C42" s="45"/>
      <c r="D42" s="24"/>
      <c r="E42" s="25"/>
      <c r="F42" s="25"/>
      <c r="G42" s="25"/>
      <c r="H42" s="25"/>
      <c r="I42" s="25"/>
      <c r="J42" s="26"/>
      <c r="K42" s="2"/>
      <c r="L42" s="3"/>
      <c r="M42" s="4"/>
      <c r="N42" s="19" t="str">
        <f t="shared" ref="N42:N44" si="1">IF(ISBLANK(B42),"",IF(K42="","10%","8%"))</f>
        <v/>
      </c>
      <c r="O42" s="46"/>
      <c r="P42" s="46"/>
      <c r="Q42" s="8"/>
      <c r="R42" s="8"/>
      <c r="S42" s="8"/>
      <c r="T42" s="8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 s="1" customFormat="1" ht="24" customHeight="1" x14ac:dyDescent="0.4">
      <c r="A43" s="8"/>
      <c r="B43" s="57"/>
      <c r="C43" s="58"/>
      <c r="D43" s="24"/>
      <c r="E43" s="25"/>
      <c r="F43" s="25"/>
      <c r="G43" s="25"/>
      <c r="H43" s="25"/>
      <c r="I43" s="25"/>
      <c r="J43" s="26"/>
      <c r="K43" s="2"/>
      <c r="L43" s="3"/>
      <c r="M43" s="4"/>
      <c r="N43" s="19" t="str">
        <f t="shared" si="1"/>
        <v/>
      </c>
      <c r="O43" s="53"/>
      <c r="P43" s="54"/>
      <c r="Q43" s="8"/>
      <c r="R43" s="8"/>
      <c r="S43" s="8"/>
      <c r="T43" s="8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1:30" s="1" customFormat="1" ht="24" customHeight="1" x14ac:dyDescent="0.4">
      <c r="A44" s="8"/>
      <c r="B44" s="44"/>
      <c r="C44" s="45"/>
      <c r="D44" s="24"/>
      <c r="E44" s="25"/>
      <c r="F44" s="25"/>
      <c r="G44" s="25"/>
      <c r="H44" s="25"/>
      <c r="I44" s="25"/>
      <c r="J44" s="26"/>
      <c r="K44" s="2"/>
      <c r="L44" s="3"/>
      <c r="M44" s="4"/>
      <c r="N44" s="19" t="str">
        <f t="shared" si="1"/>
        <v/>
      </c>
      <c r="O44" s="46"/>
      <c r="P44" s="46"/>
      <c r="Q44" s="8"/>
      <c r="R44" s="8"/>
      <c r="S44" s="8"/>
      <c r="T44" s="8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 s="1" customFormat="1" ht="24" customHeight="1" x14ac:dyDescent="0.4">
      <c r="A45" s="8"/>
      <c r="B45" s="13" t="s">
        <v>16</v>
      </c>
      <c r="C45" s="13"/>
      <c r="D45" s="13"/>
      <c r="E45" s="13"/>
      <c r="F45" s="13"/>
      <c r="G45" s="13"/>
      <c r="H45" s="13"/>
      <c r="I45" s="13"/>
      <c r="J45" s="13"/>
      <c r="K45" s="13"/>
      <c r="L45" s="8"/>
      <c r="M45" s="13"/>
      <c r="N45" s="22" t="s">
        <v>40</v>
      </c>
      <c r="O45" s="47">
        <f>F47+F48</f>
        <v>36566</v>
      </c>
      <c r="P45" s="48"/>
      <c r="Q45" s="8"/>
      <c r="R45" s="8"/>
      <c r="S45" s="8"/>
      <c r="T45" s="8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1:30" s="1" customFormat="1" ht="24" customHeight="1" x14ac:dyDescent="0.4">
      <c r="A46" s="8"/>
      <c r="B46" s="49" t="s">
        <v>12</v>
      </c>
      <c r="C46" s="50"/>
      <c r="D46" s="50" t="s">
        <v>38</v>
      </c>
      <c r="E46" s="50"/>
      <c r="F46" s="51" t="s">
        <v>37</v>
      </c>
      <c r="G46" s="52"/>
      <c r="H46" s="13"/>
      <c r="I46" s="13"/>
      <c r="J46" s="13"/>
      <c r="K46" s="13"/>
      <c r="L46" s="13"/>
      <c r="M46" s="13"/>
      <c r="N46" s="22" t="s">
        <v>39</v>
      </c>
      <c r="O46" s="30">
        <f>SUM(D47:E48)</f>
        <v>2822.6666666666679</v>
      </c>
      <c r="P46" s="31"/>
      <c r="Q46" s="8"/>
      <c r="R46" s="8"/>
      <c r="S46" s="8"/>
      <c r="T46" s="8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 s="1" customFormat="1" ht="24" customHeight="1" x14ac:dyDescent="0.4">
      <c r="A47" s="8"/>
      <c r="B47" s="27" t="s">
        <v>14</v>
      </c>
      <c r="C47" s="28"/>
      <c r="D47" s="29">
        <f>F47-(F47/1.08)</f>
        <v>2382.6666666666679</v>
      </c>
      <c r="E47" s="29"/>
      <c r="F47" s="30">
        <f>O21+O23+O25+O27+O29+O31+O33+O35+O37</f>
        <v>32166</v>
      </c>
      <c r="G47" s="31"/>
      <c r="H47" s="13"/>
      <c r="I47" s="13"/>
      <c r="J47" s="13"/>
      <c r="K47" s="13"/>
      <c r="L47" s="13"/>
      <c r="M47" s="13"/>
      <c r="N47" s="8"/>
      <c r="O47" s="8"/>
      <c r="P47" s="8"/>
      <c r="Q47" s="8"/>
      <c r="R47" s="8"/>
      <c r="S47" s="8"/>
      <c r="T47" s="8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 spans="1:30" s="1" customFormat="1" ht="24" customHeight="1" x14ac:dyDescent="0.4">
      <c r="A48" s="8"/>
      <c r="B48" s="27" t="s">
        <v>13</v>
      </c>
      <c r="C48" s="28"/>
      <c r="D48" s="29">
        <f>F48/10</f>
        <v>440</v>
      </c>
      <c r="E48" s="29"/>
      <c r="F48" s="30">
        <f>O22+O24+O26+O28+O30+O32+O34+O36+O38</f>
        <v>4400</v>
      </c>
      <c r="G48" s="31"/>
      <c r="H48" s="13"/>
      <c r="I48" s="13"/>
      <c r="J48" s="13"/>
      <c r="K48" s="13"/>
      <c r="L48" s="13"/>
      <c r="M48" s="13"/>
      <c r="N48" s="14"/>
      <c r="O48" s="7"/>
      <c r="P48" s="7"/>
      <c r="Q48" s="7"/>
      <c r="R48" s="8"/>
      <c r="S48" s="8"/>
      <c r="T48" s="8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1:31" s="1" customFormat="1" ht="24" customHeight="1" x14ac:dyDescent="0.4">
      <c r="A49" s="8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4"/>
      <c r="O49" s="14"/>
      <c r="P49" s="14"/>
      <c r="Q49" s="14"/>
      <c r="R49" s="5"/>
      <c r="S49" s="5"/>
      <c r="T49" s="8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1" s="1" customFormat="1" ht="24" customHeight="1" x14ac:dyDescent="0.4">
      <c r="A50" s="8"/>
      <c r="B50" s="99" t="s">
        <v>15</v>
      </c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1"/>
      <c r="R50" s="8"/>
      <c r="S50" s="8"/>
      <c r="T50" s="8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1" s="1" customFormat="1" ht="24" customHeight="1" x14ac:dyDescent="0.4">
      <c r="A51" s="8"/>
      <c r="B51" s="32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4"/>
      <c r="R51" s="8"/>
      <c r="S51" s="8"/>
      <c r="T51" s="8"/>
      <c r="U51" s="5"/>
      <c r="V51" s="5"/>
      <c r="W51" s="5"/>
      <c r="X51" s="5"/>
      <c r="Y51" s="5"/>
      <c r="Z51" s="5"/>
      <c r="AA51" s="5"/>
    </row>
    <row r="52" spans="1:31" s="1" customFormat="1" ht="24" customHeight="1" x14ac:dyDescent="0.4">
      <c r="A52" s="8"/>
      <c r="B52" s="35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7"/>
      <c r="R52" s="8"/>
      <c r="S52" s="8"/>
      <c r="T52" s="8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</row>
    <row r="53" spans="1:31" s="1" customFormat="1" ht="18.95" customHeight="1" x14ac:dyDescent="0.4">
      <c r="A53" s="8"/>
      <c r="B53" s="38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40"/>
      <c r="R53" s="8"/>
      <c r="S53" s="8"/>
      <c r="T53" s="8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</row>
    <row r="54" spans="1:31" s="1" customFormat="1" ht="33" customHeight="1" x14ac:dyDescent="0.4">
      <c r="A54" s="8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8"/>
      <c r="S54" s="8"/>
      <c r="T54" s="8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</row>
    <row r="55" spans="1:31" s="1" customFormat="1" ht="33" customHeight="1" x14ac:dyDescent="0.4">
      <c r="A55" s="8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8"/>
      <c r="S55" s="8"/>
      <c r="T55" s="8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</row>
    <row r="56" spans="1:31" s="1" customFormat="1" ht="33" customHeight="1" x14ac:dyDescent="0.4">
      <c r="A56" s="8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</row>
    <row r="57" spans="1:31" s="1" customFormat="1" ht="33" customHeight="1" x14ac:dyDescent="0.4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</row>
    <row r="58" spans="1:31" ht="33" customHeight="1" x14ac:dyDescent="0.4"/>
    <row r="59" spans="1:31" ht="33" customHeight="1" x14ac:dyDescent="0.4"/>
    <row r="60" spans="1:31" ht="33" customHeight="1" x14ac:dyDescent="0.4"/>
    <row r="61" spans="1:31" ht="33" customHeight="1" x14ac:dyDescent="0.4"/>
    <row r="62" spans="1:31" ht="33" customHeight="1" x14ac:dyDescent="0.4"/>
    <row r="63" spans="1:31" ht="33" customHeight="1" x14ac:dyDescent="0.4"/>
    <row r="64" spans="1:31" ht="33" customHeight="1" x14ac:dyDescent="0.4"/>
    <row r="65" ht="33" customHeight="1" x14ac:dyDescent="0.4"/>
    <row r="66" ht="33" customHeight="1" x14ac:dyDescent="0.4"/>
    <row r="67" ht="33" customHeight="1" x14ac:dyDescent="0.4"/>
    <row r="68" ht="33" customHeight="1" x14ac:dyDescent="0.4"/>
    <row r="69" ht="33" customHeight="1" x14ac:dyDescent="0.4"/>
    <row r="70" ht="33" customHeight="1" x14ac:dyDescent="0.4"/>
    <row r="71" ht="33" customHeight="1" x14ac:dyDescent="0.4"/>
    <row r="72" ht="33" hidden="1" customHeight="1" x14ac:dyDescent="0.4"/>
    <row r="73" ht="33" hidden="1" customHeight="1" x14ac:dyDescent="0.4"/>
    <row r="74" hidden="1" x14ac:dyDescent="0.4"/>
  </sheetData>
  <mergeCells count="108">
    <mergeCell ref="B2:Q2"/>
    <mergeCell ref="O4:Q4"/>
    <mergeCell ref="O5:Q5"/>
    <mergeCell ref="B6:I6"/>
    <mergeCell ref="O6:Q6"/>
    <mergeCell ref="B11:J11"/>
    <mergeCell ref="N11:Q11"/>
    <mergeCell ref="B12:J13"/>
    <mergeCell ref="N12:Q12"/>
    <mergeCell ref="O20:P20"/>
    <mergeCell ref="O21:P21"/>
    <mergeCell ref="O22:P22"/>
    <mergeCell ref="O23:P23"/>
    <mergeCell ref="B15:B16"/>
    <mergeCell ref="C15:H15"/>
    <mergeCell ref="C16:H16"/>
    <mergeCell ref="B7:J7"/>
    <mergeCell ref="B8:J8"/>
    <mergeCell ref="M8:Q8"/>
    <mergeCell ref="B9:J9"/>
    <mergeCell ref="M9:Q9"/>
    <mergeCell ref="B10:J10"/>
    <mergeCell ref="N10:Q10"/>
    <mergeCell ref="B22:C22"/>
    <mergeCell ref="D22:J22"/>
    <mergeCell ref="B23:C23"/>
    <mergeCell ref="D23:J23"/>
    <mergeCell ref="C17:H17"/>
    <mergeCell ref="B20:C20"/>
    <mergeCell ref="D20:J20"/>
    <mergeCell ref="B21:C21"/>
    <mergeCell ref="D21:J21"/>
    <mergeCell ref="B26:C26"/>
    <mergeCell ref="D26:J26"/>
    <mergeCell ref="B24:C24"/>
    <mergeCell ref="D24:J24"/>
    <mergeCell ref="B25:C25"/>
    <mergeCell ref="D25:J25"/>
    <mergeCell ref="O24:P24"/>
    <mergeCell ref="O25:P25"/>
    <mergeCell ref="O26:P26"/>
    <mergeCell ref="B28:C28"/>
    <mergeCell ref="D28:J28"/>
    <mergeCell ref="B29:C29"/>
    <mergeCell ref="D29:J29"/>
    <mergeCell ref="B27:C27"/>
    <mergeCell ref="D27:J27"/>
    <mergeCell ref="O27:P27"/>
    <mergeCell ref="O28:P28"/>
    <mergeCell ref="O29:P29"/>
    <mergeCell ref="B32:C32"/>
    <mergeCell ref="D32:J32"/>
    <mergeCell ref="B30:C30"/>
    <mergeCell ref="D30:J30"/>
    <mergeCell ref="B31:C31"/>
    <mergeCell ref="D31:J31"/>
    <mergeCell ref="O30:P30"/>
    <mergeCell ref="O31:P31"/>
    <mergeCell ref="O32:P32"/>
    <mergeCell ref="B34:C34"/>
    <mergeCell ref="D34:J34"/>
    <mergeCell ref="B35:C35"/>
    <mergeCell ref="D35:J35"/>
    <mergeCell ref="B33:C33"/>
    <mergeCell ref="D33:J33"/>
    <mergeCell ref="O33:P33"/>
    <mergeCell ref="O34:P34"/>
    <mergeCell ref="O35:P35"/>
    <mergeCell ref="O40:P40"/>
    <mergeCell ref="O41:P41"/>
    <mergeCell ref="O42:P42"/>
    <mergeCell ref="D43:J43"/>
    <mergeCell ref="O43:P43"/>
    <mergeCell ref="O46:P46"/>
    <mergeCell ref="B36:C36"/>
    <mergeCell ref="D36:J36"/>
    <mergeCell ref="B37:C37"/>
    <mergeCell ref="D37:J37"/>
    <mergeCell ref="O36:P36"/>
    <mergeCell ref="O37:P37"/>
    <mergeCell ref="O38:P38"/>
    <mergeCell ref="O39:P39"/>
    <mergeCell ref="B38:C38"/>
    <mergeCell ref="D38:J38"/>
    <mergeCell ref="B39:C39"/>
    <mergeCell ref="D39:J39"/>
    <mergeCell ref="B43:C43"/>
    <mergeCell ref="B40:C40"/>
    <mergeCell ref="D40:J40"/>
    <mergeCell ref="B41:C41"/>
    <mergeCell ref="D41:J41"/>
    <mergeCell ref="B42:C42"/>
    <mergeCell ref="D42:J42"/>
    <mergeCell ref="B47:C47"/>
    <mergeCell ref="D47:E47"/>
    <mergeCell ref="F47:G47"/>
    <mergeCell ref="B48:C48"/>
    <mergeCell ref="D48:E48"/>
    <mergeCell ref="F48:G48"/>
    <mergeCell ref="B51:Q53"/>
    <mergeCell ref="B50:Q50"/>
    <mergeCell ref="B44:C44"/>
    <mergeCell ref="D44:J44"/>
    <mergeCell ref="O44:P44"/>
    <mergeCell ref="O45:P45"/>
    <mergeCell ref="B46:C46"/>
    <mergeCell ref="D46:E46"/>
    <mergeCell ref="F46:G46"/>
  </mergeCells>
  <phoneticPr fontId="1"/>
  <dataValidations count="2">
    <dataValidation type="date" operator="greaterThan" allowBlank="1" showInputMessage="1" showErrorMessage="1" errorTitle="日付の入力エラー" error="正しい日付を入力してください。" sqref="O4:Q5 B21:B44" xr:uid="{DF0112AB-05EB-47AC-9640-6E8582DF20F7}">
      <formula1>1</formula1>
    </dataValidation>
    <dataValidation type="list" allowBlank="1" showInputMessage="1" showErrorMessage="1" sqref="K21:K44" xr:uid="{FF79F0C9-C404-4B45-A100-5661E359DD8D}">
      <formula1>"※"</formula1>
    </dataValidation>
  </dataValidations>
  <printOptions horizontalCentered="1"/>
  <pageMargins left="0.70866141732283472" right="0.70866141732283472" top="0.55118110236220474" bottom="0.55118110236220474" header="0.31496062992125984" footer="0.31496062992125984"/>
  <pageSetup paperSize="9" scale="5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74"/>
  <sheetViews>
    <sheetView topLeftCell="A2" zoomScale="70" zoomScaleNormal="70" workbookViewId="0">
      <selection activeCell="B25" sqref="B25:C25"/>
    </sheetView>
  </sheetViews>
  <sheetFormatPr defaultColWidth="0" defaultRowHeight="17.25" customHeight="1" zeroHeight="1" x14ac:dyDescent="0.4"/>
  <cols>
    <col min="1" max="1" width="2" style="5" customWidth="1"/>
    <col min="2" max="2" width="10.44140625" style="5" customWidth="1"/>
    <col min="3" max="3" width="6" style="5" customWidth="1"/>
    <col min="4" max="8" width="8" style="5" customWidth="1"/>
    <col min="9" max="10" width="7.44140625" style="5" customWidth="1"/>
    <col min="11" max="11" width="9.44140625" style="5" customWidth="1"/>
    <col min="12" max="13" width="8" style="5" customWidth="1"/>
    <col min="14" max="14" width="14.5546875" style="5" bestFit="1" customWidth="1"/>
    <col min="15" max="17" width="8" style="5" customWidth="1"/>
    <col min="18" max="19" width="8" style="5" hidden="1" customWidth="1"/>
    <col min="20" max="20" width="1.88671875" style="5" customWidth="1"/>
    <col min="21" max="22" width="10.6640625" style="5" customWidth="1"/>
    <col min="23" max="23" width="12.21875" style="5" bestFit="1" customWidth="1"/>
    <col min="24" max="31" width="10.6640625" style="5" customWidth="1"/>
    <col min="32" max="32" width="0" style="5" hidden="1" customWidth="1"/>
    <col min="33" max="16384" width="10.6640625" style="5" hidden="1"/>
  </cols>
  <sheetData>
    <row r="1" spans="1:31" s="1" customFormat="1" hidden="1" x14ac:dyDescent="0.4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s="1" customFormat="1" ht="53.1" customHeight="1" x14ac:dyDescent="0.4">
      <c r="A2" s="8"/>
      <c r="B2" s="86" t="s">
        <v>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"/>
      <c r="S2" s="8"/>
      <c r="T2" s="8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 s="1" customFormat="1" hidden="1" x14ac:dyDescent="0.4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 spans="1:31" s="1" customFormat="1" ht="30.95" customHeight="1" x14ac:dyDescent="0.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21" t="s">
        <v>1</v>
      </c>
      <c r="O4" s="87">
        <v>46234</v>
      </c>
      <c r="P4" s="87"/>
      <c r="Q4" s="87"/>
      <c r="R4" s="8"/>
      <c r="S4" s="8"/>
      <c r="T4" s="8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 spans="1:31" s="1" customFormat="1" ht="30.95" customHeight="1" x14ac:dyDescent="0.4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21" t="s">
        <v>3</v>
      </c>
      <c r="O5" s="88">
        <v>2370001017442</v>
      </c>
      <c r="P5" s="88"/>
      <c r="Q5" s="88"/>
      <c r="R5" s="8"/>
      <c r="S5" s="8"/>
      <c r="T5" s="8"/>
      <c r="U5" s="5"/>
      <c r="V5" s="5"/>
      <c r="W5" s="5"/>
      <c r="X5" s="5"/>
      <c r="Y5" s="5"/>
      <c r="Z5" s="5"/>
      <c r="AA5" s="5"/>
      <c r="AB5" s="5"/>
      <c r="AC5" s="5"/>
      <c r="AD5" s="5"/>
      <c r="AE5" s="5"/>
    </row>
    <row r="6" spans="1:31" s="1" customFormat="1" ht="30.95" customHeight="1" x14ac:dyDescent="0.4">
      <c r="A6" s="8"/>
      <c r="B6" s="89" t="s">
        <v>28</v>
      </c>
      <c r="C6" s="89"/>
      <c r="D6" s="89"/>
      <c r="E6" s="89"/>
      <c r="F6" s="89"/>
      <c r="G6" s="89"/>
      <c r="H6" s="89"/>
      <c r="I6" s="89"/>
      <c r="J6" s="18" t="s">
        <v>24</v>
      </c>
      <c r="M6" s="8"/>
      <c r="N6" s="21" t="s">
        <v>23</v>
      </c>
      <c r="O6" s="90"/>
      <c r="P6" s="90"/>
      <c r="Q6" s="90"/>
      <c r="R6" s="8"/>
      <c r="S6" s="8"/>
      <c r="T6" s="8"/>
      <c r="U6" s="5"/>
      <c r="V6" s="5"/>
      <c r="W6" s="5"/>
      <c r="X6" s="5"/>
      <c r="Y6" s="5"/>
      <c r="Z6" s="5"/>
      <c r="AA6" s="5"/>
      <c r="AB6" s="5"/>
      <c r="AC6" s="5"/>
      <c r="AD6" s="5"/>
      <c r="AE6" s="5"/>
    </row>
    <row r="7" spans="1:31" s="1" customFormat="1" ht="26.1" customHeight="1" x14ac:dyDescent="0.4">
      <c r="A7" s="8"/>
      <c r="B7" s="72"/>
      <c r="C7" s="72"/>
      <c r="D7" s="72"/>
      <c r="E7" s="72"/>
      <c r="F7" s="72"/>
      <c r="G7" s="72"/>
      <c r="H7" s="72"/>
      <c r="I7" s="72"/>
      <c r="J7" s="72"/>
      <c r="K7" s="8"/>
      <c r="L7" s="8"/>
      <c r="M7" s="8"/>
      <c r="N7" s="9"/>
      <c r="O7" s="10"/>
      <c r="P7" s="10"/>
      <c r="Q7" s="10"/>
      <c r="R7" s="8"/>
      <c r="S7" s="8"/>
      <c r="T7" s="8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r="8" spans="1:31" s="1" customFormat="1" ht="33.950000000000003" customHeight="1" x14ac:dyDescent="0.4">
      <c r="A8" s="8"/>
      <c r="B8" s="73"/>
      <c r="C8" s="73"/>
      <c r="D8" s="73"/>
      <c r="E8" s="73"/>
      <c r="F8" s="73"/>
      <c r="G8" s="73"/>
      <c r="H8" s="73"/>
      <c r="I8" s="73"/>
      <c r="J8" s="73"/>
      <c r="K8" s="8"/>
      <c r="L8" s="8"/>
      <c r="M8" s="74" t="s">
        <v>30</v>
      </c>
      <c r="N8" s="74"/>
      <c r="O8" s="74"/>
      <c r="P8" s="74"/>
      <c r="Q8" s="74"/>
      <c r="R8" s="8"/>
      <c r="S8" s="8"/>
      <c r="T8" s="8"/>
      <c r="U8" s="5"/>
      <c r="V8" s="5"/>
      <c r="W8" s="5"/>
      <c r="X8" s="5"/>
      <c r="Y8" s="5"/>
      <c r="Z8" s="5"/>
      <c r="AA8" s="5"/>
      <c r="AB8" s="5"/>
      <c r="AC8" s="5"/>
      <c r="AD8" s="5"/>
      <c r="AE8" s="5"/>
    </row>
    <row r="9" spans="1:31" s="1" customFormat="1" ht="30" customHeight="1" x14ac:dyDescent="0.4">
      <c r="A9" s="8"/>
      <c r="B9" s="75"/>
      <c r="C9" s="75"/>
      <c r="D9" s="75"/>
      <c r="E9" s="75"/>
      <c r="F9" s="75"/>
      <c r="G9" s="75"/>
      <c r="H9" s="75"/>
      <c r="I9" s="75"/>
      <c r="J9" s="75"/>
      <c r="K9" s="8"/>
      <c r="L9" s="8"/>
      <c r="M9" s="72" t="s">
        <v>33</v>
      </c>
      <c r="N9" s="72"/>
      <c r="O9" s="72"/>
      <c r="P9" s="72"/>
      <c r="Q9" s="72"/>
      <c r="R9" s="8"/>
      <c r="S9" s="8"/>
      <c r="T9" s="8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 spans="1:31" s="1" customFormat="1" ht="38.1" customHeight="1" x14ac:dyDescent="0.4">
      <c r="A10" s="8"/>
      <c r="B10" s="76" t="s">
        <v>5</v>
      </c>
      <c r="C10" s="76"/>
      <c r="D10" s="76"/>
      <c r="E10" s="76"/>
      <c r="F10" s="76"/>
      <c r="G10" s="76"/>
      <c r="H10" s="76"/>
      <c r="I10" s="76"/>
      <c r="J10" s="76"/>
      <c r="K10" s="12"/>
      <c r="L10" s="12"/>
      <c r="M10" s="11" t="s">
        <v>2</v>
      </c>
      <c r="N10" s="77" t="s">
        <v>34</v>
      </c>
      <c r="O10" s="78"/>
      <c r="P10" s="78"/>
      <c r="Q10" s="78"/>
      <c r="R10" s="8"/>
      <c r="S10" s="8"/>
      <c r="T10" s="8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</row>
    <row r="11" spans="1:31" s="1" customFormat="1" ht="30" customHeight="1" x14ac:dyDescent="0.4">
      <c r="A11" s="8"/>
      <c r="B11" s="91" t="s">
        <v>6</v>
      </c>
      <c r="C11" s="84"/>
      <c r="D11" s="84"/>
      <c r="E11" s="84"/>
      <c r="F11" s="84"/>
      <c r="G11" s="84"/>
      <c r="H11" s="84"/>
      <c r="I11" s="84"/>
      <c r="J11" s="92"/>
      <c r="K11" s="8"/>
      <c r="L11" s="8"/>
      <c r="M11" s="11" t="s">
        <v>4</v>
      </c>
      <c r="N11" s="78" t="s">
        <v>35</v>
      </c>
      <c r="O11" s="78"/>
      <c r="P11" s="78"/>
      <c r="Q11" s="78"/>
      <c r="R11" s="8"/>
      <c r="S11" s="8"/>
      <c r="T11" s="8"/>
      <c r="U11" s="5"/>
      <c r="V11" s="5"/>
      <c r="W11" s="20"/>
      <c r="X11" s="5"/>
      <c r="Y11" s="5"/>
      <c r="Z11" s="5"/>
      <c r="AA11" s="5"/>
      <c r="AB11" s="5"/>
      <c r="AC11" s="5"/>
      <c r="AD11" s="5"/>
      <c r="AE11" s="5"/>
    </row>
    <row r="12" spans="1:31" s="1" customFormat="1" ht="30" customHeight="1" x14ac:dyDescent="0.4">
      <c r="A12" s="8"/>
      <c r="B12" s="93">
        <f>O49</f>
        <v>41519</v>
      </c>
      <c r="C12" s="94"/>
      <c r="D12" s="94"/>
      <c r="E12" s="94"/>
      <c r="F12" s="94"/>
      <c r="G12" s="94"/>
      <c r="H12" s="94"/>
      <c r="I12" s="94"/>
      <c r="J12" s="95"/>
      <c r="K12" s="8"/>
      <c r="L12" s="8"/>
      <c r="M12" s="11" t="s">
        <v>19</v>
      </c>
      <c r="N12" s="78" t="s">
        <v>36</v>
      </c>
      <c r="O12" s="78"/>
      <c r="P12" s="78"/>
      <c r="Q12" s="78"/>
      <c r="R12" s="8"/>
      <c r="S12" s="8"/>
      <c r="T12" s="8"/>
      <c r="U12" s="5"/>
      <c r="V12" s="23">
        <f>ROUNDDOWN(B12+八乙女店!B12+川平1丁目店!B12+堤町店!B12+広瀬立町店!B12,0)</f>
        <v>158718</v>
      </c>
      <c r="W12" s="5"/>
      <c r="X12" s="5"/>
      <c r="Y12" s="5"/>
      <c r="Z12" s="5"/>
      <c r="AA12" s="5"/>
      <c r="AB12" s="5"/>
      <c r="AC12" s="5"/>
      <c r="AD12" s="5"/>
      <c r="AE12" s="5"/>
    </row>
    <row r="13" spans="1:31" s="1" customFormat="1" ht="32.1" customHeight="1" x14ac:dyDescent="0.4">
      <c r="A13" s="8"/>
      <c r="B13" s="96"/>
      <c r="C13" s="97"/>
      <c r="D13" s="97"/>
      <c r="E13" s="97"/>
      <c r="F13" s="97"/>
      <c r="G13" s="97"/>
      <c r="H13" s="97"/>
      <c r="I13" s="97"/>
      <c r="J13" s="98"/>
      <c r="K13" s="8"/>
      <c r="L13" s="8"/>
      <c r="M13" s="8"/>
      <c r="N13" s="8"/>
      <c r="O13" s="8"/>
      <c r="P13" s="8"/>
      <c r="Q13" s="8"/>
      <c r="R13" s="8"/>
      <c r="S13" s="8"/>
      <c r="T13" s="8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 spans="1:31" s="1" customFormat="1" ht="32.1" customHeight="1" x14ac:dyDescent="0.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 spans="1:31" s="1" customFormat="1" ht="24" customHeight="1" x14ac:dyDescent="0.4">
      <c r="A15" s="8"/>
      <c r="B15" s="64" t="s">
        <v>7</v>
      </c>
      <c r="C15" s="66" t="s">
        <v>31</v>
      </c>
      <c r="D15" s="67"/>
      <c r="E15" s="67"/>
      <c r="F15" s="67"/>
      <c r="G15" s="67"/>
      <c r="H15" s="6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 spans="1:31" s="1" customFormat="1" ht="24" customHeight="1" x14ac:dyDescent="0.4">
      <c r="A16" s="8"/>
      <c r="B16" s="65"/>
      <c r="C16" s="69" t="s">
        <v>32</v>
      </c>
      <c r="D16" s="70"/>
      <c r="E16" s="70"/>
      <c r="F16" s="70"/>
      <c r="G16" s="70"/>
      <c r="H16" s="71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 spans="1:31" s="1" customFormat="1" ht="24" customHeight="1" x14ac:dyDescent="0.4">
      <c r="A17" s="8"/>
      <c r="B17" s="15" t="s">
        <v>8</v>
      </c>
      <c r="C17" s="79">
        <v>46275</v>
      </c>
      <c r="D17" s="80"/>
      <c r="E17" s="80"/>
      <c r="F17" s="80"/>
      <c r="G17" s="80"/>
      <c r="H17" s="81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</row>
    <row r="18" spans="1:31" s="1" customFormat="1" ht="24" customHeight="1" x14ac:dyDescent="0.4">
      <c r="A18" s="8"/>
      <c r="B18" s="13" t="s">
        <v>17</v>
      </c>
      <c r="C18" s="13"/>
      <c r="D18" s="13"/>
      <c r="E18" s="13"/>
      <c r="F18" s="13"/>
      <c r="G18" s="13"/>
      <c r="H18" s="13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1" s="1" customFormat="1" ht="24" customHeight="1" x14ac:dyDescent="0.4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1" s="1" customFormat="1" ht="24" customHeight="1" x14ac:dyDescent="0.4">
      <c r="A20" s="8"/>
      <c r="B20" s="82" t="s">
        <v>20</v>
      </c>
      <c r="C20" s="63"/>
      <c r="D20" s="83" t="s">
        <v>21</v>
      </c>
      <c r="E20" s="84"/>
      <c r="F20" s="84"/>
      <c r="G20" s="84"/>
      <c r="H20" s="84"/>
      <c r="I20" s="84"/>
      <c r="J20" s="85"/>
      <c r="K20" s="17" t="s">
        <v>18</v>
      </c>
      <c r="L20" s="16" t="s">
        <v>11</v>
      </c>
      <c r="M20" s="16" t="s">
        <v>10</v>
      </c>
      <c r="N20" s="16" t="s">
        <v>9</v>
      </c>
      <c r="O20" s="63" t="s">
        <v>37</v>
      </c>
      <c r="P20" s="63"/>
      <c r="Q20" s="8"/>
      <c r="R20" s="8"/>
      <c r="S20" s="8"/>
      <c r="T20" s="8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1" s="1" customFormat="1" ht="24" customHeight="1" x14ac:dyDescent="0.4">
      <c r="A21" s="8"/>
      <c r="B21" s="57">
        <v>46210</v>
      </c>
      <c r="C21" s="58"/>
      <c r="D21" s="24" t="s">
        <v>25</v>
      </c>
      <c r="E21" s="25"/>
      <c r="F21" s="25"/>
      <c r="G21" s="25"/>
      <c r="H21" s="25"/>
      <c r="I21" s="25"/>
      <c r="J21" s="25"/>
      <c r="K21" s="6" t="s">
        <v>22</v>
      </c>
      <c r="L21" s="3">
        <v>1</v>
      </c>
      <c r="M21" s="4"/>
      <c r="N21" s="19" t="str">
        <f>IF(ISBLANK(B21),"",IF(K21="","10%","8%"))</f>
        <v>8%</v>
      </c>
      <c r="O21" s="53">
        <v>37224</v>
      </c>
      <c r="P21" s="54"/>
      <c r="Q21" s="8"/>
      <c r="R21" s="8"/>
      <c r="S21" s="8"/>
      <c r="T21" s="8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1" s="1" customFormat="1" ht="24" customHeight="1" x14ac:dyDescent="0.4">
      <c r="A22" s="8"/>
      <c r="B22" s="57">
        <v>46210</v>
      </c>
      <c r="C22" s="58"/>
      <c r="D22" s="24" t="s">
        <v>25</v>
      </c>
      <c r="E22" s="25"/>
      <c r="F22" s="25"/>
      <c r="G22" s="25"/>
      <c r="H22" s="25"/>
      <c r="I22" s="25"/>
      <c r="J22" s="26"/>
      <c r="K22" s="6"/>
      <c r="L22" s="3">
        <v>1</v>
      </c>
      <c r="M22" s="4"/>
      <c r="N22" s="19" t="str">
        <f>IF(ISBLANK(B22),"",IF(K22="","10%","8%"))</f>
        <v>10%</v>
      </c>
      <c r="O22" s="53">
        <v>550</v>
      </c>
      <c r="P22" s="54"/>
      <c r="Q22" s="8"/>
      <c r="R22" s="8"/>
      <c r="S22" s="8"/>
      <c r="T22" s="8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1" s="1" customFormat="1" ht="24" customHeight="1" x14ac:dyDescent="0.4">
      <c r="A23" s="8"/>
      <c r="B23" s="57">
        <v>46221</v>
      </c>
      <c r="C23" s="58"/>
      <c r="D23" s="24" t="s">
        <v>25</v>
      </c>
      <c r="E23" s="25"/>
      <c r="F23" s="25"/>
      <c r="G23" s="25"/>
      <c r="H23" s="25"/>
      <c r="I23" s="25"/>
      <c r="J23" s="25"/>
      <c r="K23" s="6" t="s">
        <v>22</v>
      </c>
      <c r="L23" s="3">
        <v>1</v>
      </c>
      <c r="M23" s="4"/>
      <c r="N23" s="19" t="str">
        <f>IF(ISBLANK(B23),"",IF(K23="","10%","8%"))</f>
        <v>8%</v>
      </c>
      <c r="O23" s="53">
        <v>3195</v>
      </c>
      <c r="P23" s="54"/>
      <c r="Q23" s="8"/>
      <c r="R23" s="8"/>
      <c r="S23" s="8"/>
      <c r="T23" s="8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1" s="1" customFormat="1" ht="24" customHeight="1" x14ac:dyDescent="0.4">
      <c r="A24" s="8"/>
      <c r="B24" s="57">
        <v>46221</v>
      </c>
      <c r="C24" s="58"/>
      <c r="D24" s="24" t="s">
        <v>25</v>
      </c>
      <c r="E24" s="25"/>
      <c r="F24" s="25"/>
      <c r="G24" s="25"/>
      <c r="H24" s="25"/>
      <c r="I24" s="25"/>
      <c r="J24" s="26"/>
      <c r="K24" s="6"/>
      <c r="L24" s="3">
        <v>1</v>
      </c>
      <c r="M24" s="4"/>
      <c r="N24" s="19" t="str">
        <f>IF(ISBLANK(B24),"",IF(K24="","10%","8%"))</f>
        <v>10%</v>
      </c>
      <c r="O24" s="53">
        <v>550</v>
      </c>
      <c r="P24" s="54"/>
      <c r="Q24" s="8"/>
      <c r="R24" s="8"/>
      <c r="S24" s="8"/>
      <c r="T24" s="8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1" s="1" customFormat="1" ht="24" customHeight="1" x14ac:dyDescent="0.4">
      <c r="A25" s="8"/>
      <c r="B25" s="61"/>
      <c r="C25" s="62"/>
      <c r="D25" s="24"/>
      <c r="E25" s="25"/>
      <c r="F25" s="25"/>
      <c r="G25" s="25"/>
      <c r="H25" s="25"/>
      <c r="I25" s="25"/>
      <c r="J25" s="26"/>
      <c r="K25" s="6"/>
      <c r="L25" s="3"/>
      <c r="M25" s="4"/>
      <c r="N25" s="19"/>
      <c r="O25" s="53"/>
      <c r="P25" s="54"/>
      <c r="Q25" s="8"/>
      <c r="R25" s="8"/>
      <c r="S25" s="8"/>
      <c r="T25" s="8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1" s="1" customFormat="1" ht="24" customHeight="1" x14ac:dyDescent="0.4">
      <c r="A26" s="8"/>
      <c r="B26" s="61"/>
      <c r="C26" s="62"/>
      <c r="D26" s="24"/>
      <c r="E26" s="25"/>
      <c r="F26" s="25"/>
      <c r="G26" s="25"/>
      <c r="H26" s="25"/>
      <c r="I26" s="25"/>
      <c r="J26" s="26"/>
      <c r="K26" s="6"/>
      <c r="L26" s="3"/>
      <c r="M26" s="4"/>
      <c r="N26" s="19"/>
      <c r="O26" s="53"/>
      <c r="P26" s="54"/>
      <c r="Q26" s="8"/>
      <c r="R26" s="8"/>
      <c r="S26" s="8"/>
      <c r="T26" s="8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1" s="1" customFormat="1" ht="24" customHeight="1" x14ac:dyDescent="0.4">
      <c r="A27" s="8"/>
      <c r="B27" s="61"/>
      <c r="C27" s="62"/>
      <c r="D27" s="24"/>
      <c r="E27" s="25"/>
      <c r="F27" s="25"/>
      <c r="G27" s="25"/>
      <c r="H27" s="25"/>
      <c r="I27" s="25"/>
      <c r="J27" s="26"/>
      <c r="K27" s="6"/>
      <c r="L27" s="3"/>
      <c r="M27" s="4"/>
      <c r="N27" s="19"/>
      <c r="O27" s="53"/>
      <c r="P27" s="54"/>
      <c r="Q27" s="8"/>
      <c r="R27" s="8"/>
      <c r="S27" s="8"/>
      <c r="T27" s="8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1:31" s="1" customFormat="1" ht="24" customHeight="1" x14ac:dyDescent="0.4">
      <c r="A28" s="8"/>
      <c r="B28" s="61"/>
      <c r="C28" s="62"/>
      <c r="D28" s="24"/>
      <c r="E28" s="25"/>
      <c r="F28" s="25"/>
      <c r="G28" s="25"/>
      <c r="H28" s="25"/>
      <c r="I28" s="25"/>
      <c r="J28" s="26"/>
      <c r="K28" s="6"/>
      <c r="L28" s="3"/>
      <c r="M28" s="4"/>
      <c r="N28" s="19"/>
      <c r="O28" s="53"/>
      <c r="P28" s="54"/>
      <c r="Q28" s="8"/>
      <c r="R28" s="8"/>
      <c r="S28" s="8"/>
      <c r="T28" s="8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1" s="1" customFormat="1" ht="24" customHeight="1" x14ac:dyDescent="0.4">
      <c r="A29" s="8"/>
      <c r="B29" s="61"/>
      <c r="C29" s="62"/>
      <c r="D29" s="24"/>
      <c r="E29" s="25"/>
      <c r="F29" s="25"/>
      <c r="G29" s="25"/>
      <c r="H29" s="25"/>
      <c r="I29" s="25"/>
      <c r="J29" s="26"/>
      <c r="K29" s="6"/>
      <c r="L29" s="3"/>
      <c r="M29" s="4"/>
      <c r="N29" s="19"/>
      <c r="O29" s="53"/>
      <c r="P29" s="54"/>
      <c r="Q29" s="8"/>
      <c r="R29" s="8"/>
      <c r="S29" s="8"/>
      <c r="T29" s="8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1" s="1" customFormat="1" ht="24" customHeight="1" x14ac:dyDescent="0.4">
      <c r="A30" s="8"/>
      <c r="B30" s="61"/>
      <c r="C30" s="62"/>
      <c r="D30" s="24"/>
      <c r="E30" s="25"/>
      <c r="F30" s="25"/>
      <c r="G30" s="25"/>
      <c r="H30" s="25"/>
      <c r="I30" s="25"/>
      <c r="J30" s="26"/>
      <c r="K30" s="2"/>
      <c r="L30" s="3"/>
      <c r="M30" s="4"/>
      <c r="N30" s="19"/>
      <c r="O30" s="53"/>
      <c r="P30" s="54"/>
      <c r="Q30" s="8"/>
      <c r="R30" s="8"/>
      <c r="S30" s="8"/>
      <c r="T30" s="8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1" s="1" customFormat="1" ht="24" customHeight="1" x14ac:dyDescent="0.4">
      <c r="A31" s="8"/>
      <c r="B31" s="61"/>
      <c r="C31" s="62"/>
      <c r="D31" s="24"/>
      <c r="E31" s="25"/>
      <c r="F31" s="25"/>
      <c r="G31" s="25"/>
      <c r="H31" s="25"/>
      <c r="I31" s="25"/>
      <c r="J31" s="26"/>
      <c r="K31" s="2"/>
      <c r="L31" s="3"/>
      <c r="M31" s="4"/>
      <c r="N31" s="19"/>
      <c r="O31" s="53"/>
      <c r="P31" s="54"/>
      <c r="Q31" s="8"/>
      <c r="R31" s="8"/>
      <c r="S31" s="8"/>
      <c r="T31" s="8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1:31" s="1" customFormat="1" ht="24" customHeight="1" x14ac:dyDescent="0.4">
      <c r="A32" s="8"/>
      <c r="B32" s="61"/>
      <c r="C32" s="62"/>
      <c r="D32" s="24"/>
      <c r="E32" s="25"/>
      <c r="F32" s="25"/>
      <c r="G32" s="25"/>
      <c r="H32" s="25"/>
      <c r="I32" s="25"/>
      <c r="J32" s="26"/>
      <c r="K32" s="2"/>
      <c r="L32" s="3"/>
      <c r="M32" s="4"/>
      <c r="N32" s="19"/>
      <c r="O32" s="53"/>
      <c r="P32" s="54"/>
      <c r="Q32" s="8"/>
      <c r="R32" s="8"/>
      <c r="S32" s="8"/>
      <c r="T32" s="8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spans="1:30" s="1" customFormat="1" ht="24" customHeight="1" x14ac:dyDescent="0.4">
      <c r="A33" s="8"/>
      <c r="B33" s="61"/>
      <c r="C33" s="62"/>
      <c r="D33" s="24"/>
      <c r="E33" s="25"/>
      <c r="F33" s="25"/>
      <c r="G33" s="25"/>
      <c r="H33" s="25"/>
      <c r="I33" s="25"/>
      <c r="J33" s="26"/>
      <c r="K33" s="2"/>
      <c r="L33" s="3"/>
      <c r="M33" s="4"/>
      <c r="N33" s="19"/>
      <c r="O33" s="53"/>
      <c r="P33" s="54"/>
      <c r="Q33" s="8"/>
      <c r="R33" s="8"/>
      <c r="S33" s="8"/>
      <c r="T33" s="8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spans="1:30" s="1" customFormat="1" ht="24" customHeight="1" x14ac:dyDescent="0.4">
      <c r="A34" s="8"/>
      <c r="B34" s="61"/>
      <c r="C34" s="62"/>
      <c r="D34" s="24"/>
      <c r="E34" s="25"/>
      <c r="F34" s="25"/>
      <c r="G34" s="25"/>
      <c r="H34" s="25"/>
      <c r="I34" s="25"/>
      <c r="J34" s="26"/>
      <c r="K34" s="2"/>
      <c r="L34" s="3"/>
      <c r="M34" s="4"/>
      <c r="N34" s="19"/>
      <c r="O34" s="53"/>
      <c r="P34" s="54"/>
      <c r="Q34" s="8"/>
      <c r="R34" s="8"/>
      <c r="S34" s="8"/>
      <c r="T34" s="8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1:30" s="1" customFormat="1" ht="24" customHeight="1" x14ac:dyDescent="0.4">
      <c r="A35" s="8"/>
      <c r="B35" s="61"/>
      <c r="C35" s="62"/>
      <c r="D35" s="24"/>
      <c r="E35" s="25"/>
      <c r="F35" s="25"/>
      <c r="G35" s="25"/>
      <c r="H35" s="25"/>
      <c r="I35" s="25"/>
      <c r="J35" s="26"/>
      <c r="K35" s="2"/>
      <c r="L35" s="3"/>
      <c r="M35" s="4"/>
      <c r="N35" s="19"/>
      <c r="O35" s="53"/>
      <c r="P35" s="54"/>
      <c r="Q35" s="8"/>
      <c r="R35" s="8"/>
      <c r="S35" s="8"/>
      <c r="T35" s="8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spans="1:30" s="1" customFormat="1" ht="24" customHeight="1" x14ac:dyDescent="0.4">
      <c r="A36" s="8"/>
      <c r="B36" s="61"/>
      <c r="C36" s="62"/>
      <c r="D36" s="24"/>
      <c r="E36" s="25"/>
      <c r="F36" s="25"/>
      <c r="G36" s="25"/>
      <c r="H36" s="25"/>
      <c r="I36" s="25"/>
      <c r="J36" s="26"/>
      <c r="K36" s="2"/>
      <c r="L36" s="3"/>
      <c r="M36" s="4"/>
      <c r="N36" s="19"/>
      <c r="O36" s="53"/>
      <c r="P36" s="54"/>
      <c r="Q36" s="8"/>
      <c r="R36" s="8"/>
      <c r="S36" s="8"/>
      <c r="T36" s="8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1:30" s="1" customFormat="1" ht="24" customHeight="1" x14ac:dyDescent="0.4">
      <c r="A37" s="8"/>
      <c r="B37" s="61"/>
      <c r="C37" s="62"/>
      <c r="D37" s="24"/>
      <c r="E37" s="25"/>
      <c r="F37" s="25"/>
      <c r="G37" s="25"/>
      <c r="H37" s="25"/>
      <c r="I37" s="25"/>
      <c r="J37" s="26"/>
      <c r="K37" s="2"/>
      <c r="L37" s="3"/>
      <c r="M37" s="4"/>
      <c r="N37" s="19"/>
      <c r="O37" s="53"/>
      <c r="P37" s="54"/>
      <c r="Q37" s="8"/>
      <c r="R37" s="8"/>
      <c r="S37" s="8"/>
      <c r="T37" s="8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 s="1" customFormat="1" ht="24" customHeight="1" x14ac:dyDescent="0.4">
      <c r="A38" s="8"/>
      <c r="B38" s="59"/>
      <c r="C38" s="60"/>
      <c r="D38" s="24"/>
      <c r="E38" s="25"/>
      <c r="F38" s="25"/>
      <c r="G38" s="25"/>
      <c r="H38" s="25"/>
      <c r="I38" s="25"/>
      <c r="J38" s="26"/>
      <c r="K38" s="2"/>
      <c r="L38" s="3"/>
      <c r="M38" s="4"/>
      <c r="N38" s="19"/>
      <c r="O38" s="53"/>
      <c r="P38" s="54"/>
      <c r="Q38" s="8"/>
      <c r="R38" s="8"/>
      <c r="S38" s="8"/>
      <c r="T38" s="8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1:30" s="1" customFormat="1" ht="24" customHeight="1" x14ac:dyDescent="0.4">
      <c r="A39" s="8"/>
      <c r="B39" s="55"/>
      <c r="C39" s="56"/>
      <c r="D39" s="24"/>
      <c r="E39" s="25"/>
      <c r="F39" s="25"/>
      <c r="G39" s="25"/>
      <c r="H39" s="25"/>
      <c r="I39" s="25"/>
      <c r="J39" s="26"/>
      <c r="K39" s="2"/>
      <c r="L39" s="3"/>
      <c r="M39" s="4"/>
      <c r="N39" s="19" t="str">
        <f t="shared" ref="N39:N45" si="0">IF(ISBLANK(B39),"",IF(K39="","10%","8%"))</f>
        <v/>
      </c>
      <c r="O39" s="53"/>
      <c r="P39" s="54"/>
      <c r="Q39" s="8"/>
      <c r="R39" s="8"/>
      <c r="S39" s="8"/>
      <c r="T39" s="8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30" s="1" customFormat="1" ht="24" customHeight="1" x14ac:dyDescent="0.4">
      <c r="A40" s="8"/>
      <c r="B40" s="55"/>
      <c r="C40" s="56"/>
      <c r="D40" s="24"/>
      <c r="E40" s="25"/>
      <c r="F40" s="25"/>
      <c r="G40" s="25"/>
      <c r="H40" s="25"/>
      <c r="I40" s="25"/>
      <c r="J40" s="26"/>
      <c r="K40" s="2"/>
      <c r="L40" s="3"/>
      <c r="M40" s="4"/>
      <c r="N40" s="19" t="str">
        <f t="shared" si="0"/>
        <v/>
      </c>
      <c r="O40" s="53"/>
      <c r="P40" s="54"/>
      <c r="Q40" s="8"/>
      <c r="R40" s="8"/>
      <c r="S40" s="8"/>
      <c r="T40" s="8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1:30" s="1" customFormat="1" ht="24" customHeight="1" x14ac:dyDescent="0.4">
      <c r="A41" s="8"/>
      <c r="B41" s="55"/>
      <c r="C41" s="56"/>
      <c r="D41" s="24"/>
      <c r="E41" s="25"/>
      <c r="F41" s="25"/>
      <c r="G41" s="25"/>
      <c r="H41" s="25"/>
      <c r="I41" s="25"/>
      <c r="J41" s="26"/>
      <c r="K41" s="2"/>
      <c r="L41" s="3"/>
      <c r="M41" s="4"/>
      <c r="N41" s="19" t="str">
        <f t="shared" si="0"/>
        <v/>
      </c>
      <c r="O41" s="53"/>
      <c r="P41" s="54"/>
      <c r="Q41" s="8"/>
      <c r="R41" s="8"/>
      <c r="S41" s="8"/>
      <c r="T41" s="8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 s="1" customFormat="1" ht="24" customHeight="1" x14ac:dyDescent="0.4">
      <c r="A42" s="8"/>
      <c r="B42" s="55"/>
      <c r="C42" s="56"/>
      <c r="D42" s="24"/>
      <c r="E42" s="25"/>
      <c r="F42" s="25"/>
      <c r="G42" s="25"/>
      <c r="H42" s="25"/>
      <c r="I42" s="25"/>
      <c r="J42" s="26"/>
      <c r="K42" s="2"/>
      <c r="L42" s="3"/>
      <c r="M42" s="4"/>
      <c r="N42" s="19" t="str">
        <f t="shared" si="0"/>
        <v/>
      </c>
      <c r="O42" s="53"/>
      <c r="P42" s="54"/>
      <c r="Q42" s="8"/>
      <c r="R42" s="8"/>
      <c r="S42" s="8"/>
      <c r="T42" s="8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 s="1" customFormat="1" ht="24" customHeight="1" x14ac:dyDescent="0.4">
      <c r="A43" s="8"/>
      <c r="B43" s="57"/>
      <c r="C43" s="58"/>
      <c r="D43" s="24"/>
      <c r="E43" s="25"/>
      <c r="F43" s="25"/>
      <c r="G43" s="25"/>
      <c r="H43" s="25"/>
      <c r="I43" s="25"/>
      <c r="J43" s="26"/>
      <c r="K43" s="2"/>
      <c r="L43" s="3"/>
      <c r="M43" s="4"/>
      <c r="N43" s="19" t="str">
        <f t="shared" si="0"/>
        <v/>
      </c>
      <c r="O43" s="53"/>
      <c r="P43" s="54"/>
      <c r="Q43" s="8"/>
      <c r="R43" s="8"/>
      <c r="S43" s="8"/>
      <c r="T43" s="8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1:30" s="1" customFormat="1" ht="24" customHeight="1" x14ac:dyDescent="0.4">
      <c r="A44" s="8"/>
      <c r="B44" s="44"/>
      <c r="C44" s="45"/>
      <c r="D44" s="24"/>
      <c r="E44" s="25"/>
      <c r="F44" s="25"/>
      <c r="G44" s="25"/>
      <c r="H44" s="25"/>
      <c r="I44" s="25"/>
      <c r="J44" s="26"/>
      <c r="K44" s="2"/>
      <c r="L44" s="3"/>
      <c r="M44" s="4"/>
      <c r="N44" s="19" t="str">
        <f t="shared" si="0"/>
        <v/>
      </c>
      <c r="O44" s="53"/>
      <c r="P44" s="54"/>
      <c r="Q44" s="8"/>
      <c r="R44" s="8"/>
      <c r="S44" s="8"/>
      <c r="T44" s="8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 s="1" customFormat="1" ht="24" customHeight="1" x14ac:dyDescent="0.4">
      <c r="A45" s="8"/>
      <c r="B45" s="57"/>
      <c r="C45" s="58"/>
      <c r="D45" s="24"/>
      <c r="E45" s="25"/>
      <c r="F45" s="25"/>
      <c r="G45" s="25"/>
      <c r="H45" s="25"/>
      <c r="I45" s="25"/>
      <c r="J45" s="26"/>
      <c r="K45" s="2"/>
      <c r="L45" s="3"/>
      <c r="M45" s="4"/>
      <c r="N45" s="19" t="str">
        <f t="shared" si="0"/>
        <v/>
      </c>
      <c r="O45" s="53"/>
      <c r="P45" s="54"/>
      <c r="Q45" s="8"/>
      <c r="R45" s="8"/>
      <c r="S45" s="8"/>
      <c r="T45" s="8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1:30" s="1" customFormat="1" ht="24" customHeight="1" x14ac:dyDescent="0.4">
      <c r="A46" s="8"/>
      <c r="B46" s="44"/>
      <c r="C46" s="45"/>
      <c r="D46" s="24"/>
      <c r="E46" s="25"/>
      <c r="F46" s="25"/>
      <c r="G46" s="25"/>
      <c r="H46" s="25"/>
      <c r="I46" s="25"/>
      <c r="J46" s="26"/>
      <c r="K46" s="2"/>
      <c r="L46" s="3"/>
      <c r="M46" s="4"/>
      <c r="N46" s="19" t="str">
        <f t="shared" ref="N46:N48" si="1">IF(ISBLANK(B46),"",IF(K46="","10%","8%"))</f>
        <v/>
      </c>
      <c r="O46" s="46"/>
      <c r="P46" s="46"/>
      <c r="Q46" s="8"/>
      <c r="R46" s="8"/>
      <c r="S46" s="8"/>
      <c r="T46" s="8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 s="1" customFormat="1" ht="24" customHeight="1" x14ac:dyDescent="0.4">
      <c r="A47" s="8"/>
      <c r="B47" s="57"/>
      <c r="C47" s="58"/>
      <c r="D47" s="24"/>
      <c r="E47" s="25"/>
      <c r="F47" s="25"/>
      <c r="G47" s="25"/>
      <c r="H47" s="25"/>
      <c r="I47" s="25"/>
      <c r="J47" s="26"/>
      <c r="K47" s="2"/>
      <c r="L47" s="3"/>
      <c r="M47" s="4"/>
      <c r="N47" s="19" t="str">
        <f t="shared" si="1"/>
        <v/>
      </c>
      <c r="O47" s="53"/>
      <c r="P47" s="54"/>
      <c r="Q47" s="8"/>
      <c r="R47" s="8"/>
      <c r="S47" s="8"/>
      <c r="T47" s="8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 spans="1:30" s="1" customFormat="1" ht="24" customHeight="1" x14ac:dyDescent="0.4">
      <c r="A48" s="8"/>
      <c r="B48" s="44"/>
      <c r="C48" s="45"/>
      <c r="D48" s="24"/>
      <c r="E48" s="25"/>
      <c r="F48" s="25"/>
      <c r="G48" s="25"/>
      <c r="H48" s="25"/>
      <c r="I48" s="25"/>
      <c r="J48" s="26"/>
      <c r="K48" s="2"/>
      <c r="L48" s="3"/>
      <c r="M48" s="4"/>
      <c r="N48" s="19" t="str">
        <f t="shared" si="1"/>
        <v/>
      </c>
      <c r="O48" s="46"/>
      <c r="P48" s="46"/>
      <c r="Q48" s="8"/>
      <c r="R48" s="8"/>
      <c r="S48" s="8"/>
      <c r="T48" s="8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1:31" s="1" customFormat="1" ht="24" customHeight="1" x14ac:dyDescent="0.4">
      <c r="A49" s="8"/>
      <c r="B49" s="13" t="s">
        <v>16</v>
      </c>
      <c r="C49" s="13"/>
      <c r="D49" s="13"/>
      <c r="E49" s="13"/>
      <c r="F49" s="13"/>
      <c r="G49" s="13"/>
      <c r="H49" s="13"/>
      <c r="I49" s="13"/>
      <c r="J49" s="13"/>
      <c r="K49" s="13"/>
      <c r="L49" s="8"/>
      <c r="M49" s="13"/>
      <c r="N49" s="22" t="s">
        <v>40</v>
      </c>
      <c r="O49" s="47">
        <f>F51+F52</f>
        <v>41519</v>
      </c>
      <c r="P49" s="48"/>
      <c r="Q49" s="8"/>
      <c r="R49" s="8"/>
      <c r="S49" s="8"/>
      <c r="T49" s="8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1" s="1" customFormat="1" ht="24" customHeight="1" x14ac:dyDescent="0.4">
      <c r="A50" s="8"/>
      <c r="B50" s="49" t="s">
        <v>12</v>
      </c>
      <c r="C50" s="50"/>
      <c r="D50" s="50" t="s">
        <v>38</v>
      </c>
      <c r="E50" s="50"/>
      <c r="F50" s="51" t="s">
        <v>37</v>
      </c>
      <c r="G50" s="52"/>
      <c r="H50" s="13"/>
      <c r="I50" s="13"/>
      <c r="J50" s="13"/>
      <c r="K50" s="13"/>
      <c r="L50" s="13"/>
      <c r="M50" s="13"/>
      <c r="N50" s="22" t="s">
        <v>39</v>
      </c>
      <c r="O50" s="30">
        <f>SUM(D51:E52)</f>
        <v>3104</v>
      </c>
      <c r="P50" s="31"/>
      <c r="Q50" s="8"/>
      <c r="R50" s="8"/>
      <c r="S50" s="8"/>
      <c r="T50" s="8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1" s="1" customFormat="1" ht="24" customHeight="1" x14ac:dyDescent="0.4">
      <c r="A51" s="8"/>
      <c r="B51" s="27" t="s">
        <v>14</v>
      </c>
      <c r="C51" s="28"/>
      <c r="D51" s="29">
        <f>F51-(F51/1.08)</f>
        <v>2994</v>
      </c>
      <c r="E51" s="29"/>
      <c r="F51" s="30">
        <f>O21+O23+O25+O27+O29+O31+O33+O33+O33+O33+O31+O35+O37+O39</f>
        <v>40419</v>
      </c>
      <c r="G51" s="31"/>
      <c r="H51" s="13"/>
      <c r="I51" s="13"/>
      <c r="J51" s="13"/>
      <c r="K51" s="13"/>
      <c r="L51" s="13"/>
      <c r="M51" s="13"/>
      <c r="N51" s="8"/>
      <c r="O51" s="8"/>
      <c r="P51" s="8"/>
      <c r="Q51" s="8"/>
      <c r="R51" s="5"/>
      <c r="S51" s="5"/>
      <c r="T51" s="8"/>
      <c r="U51" s="5"/>
      <c r="V51" s="5"/>
      <c r="W51" s="5"/>
      <c r="X51" s="5"/>
      <c r="Y51" s="5"/>
      <c r="Z51" s="5"/>
      <c r="AA51" s="5"/>
    </row>
    <row r="52" spans="1:31" s="1" customFormat="1" ht="24" customHeight="1" x14ac:dyDescent="0.4">
      <c r="A52" s="8"/>
      <c r="B52" s="27" t="s">
        <v>13</v>
      </c>
      <c r="C52" s="28"/>
      <c r="D52" s="29">
        <f>F52/10</f>
        <v>110</v>
      </c>
      <c r="E52" s="29"/>
      <c r="F52" s="30">
        <f>O22+O24+O26+O28+O30+O32+O34+O36+O38+O40</f>
        <v>1100</v>
      </c>
      <c r="G52" s="31"/>
      <c r="H52" s="13"/>
      <c r="I52" s="13"/>
      <c r="J52" s="13"/>
      <c r="K52" s="13"/>
      <c r="L52" s="13"/>
      <c r="M52" s="13"/>
      <c r="N52" s="14"/>
      <c r="O52" s="7"/>
      <c r="P52" s="7"/>
      <c r="Q52" s="7"/>
      <c r="R52" s="8"/>
      <c r="S52" s="8"/>
      <c r="T52" s="8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</row>
    <row r="53" spans="1:31" s="1" customFormat="1" ht="18.95" customHeight="1" x14ac:dyDescent="0.4">
      <c r="A53" s="8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4"/>
      <c r="O53" s="14"/>
      <c r="P53" s="14"/>
      <c r="Q53" s="14"/>
      <c r="R53" s="8"/>
      <c r="S53" s="8"/>
      <c r="T53" s="8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</row>
    <row r="54" spans="1:31" s="1" customFormat="1" ht="33" customHeight="1" x14ac:dyDescent="0.4">
      <c r="A54" s="8"/>
      <c r="B54" s="41" t="s">
        <v>15</v>
      </c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3"/>
      <c r="R54" s="8"/>
      <c r="S54" s="8"/>
      <c r="T54" s="8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</row>
    <row r="55" spans="1:31" s="1" customFormat="1" ht="33" customHeight="1" x14ac:dyDescent="0.4">
      <c r="A55" s="8"/>
      <c r="B55" s="32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4"/>
      <c r="R55" s="8"/>
      <c r="S55" s="8"/>
      <c r="T55" s="8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</row>
    <row r="56" spans="1:31" s="1" customFormat="1" ht="33" customHeight="1" x14ac:dyDescent="0.4">
      <c r="A56" s="8"/>
      <c r="B56" s="35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7"/>
      <c r="R56" s="8"/>
      <c r="S56" s="8"/>
      <c r="T56" s="8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</row>
    <row r="57" spans="1:31" s="1" customFormat="1" ht="33" customHeight="1" x14ac:dyDescent="0.4">
      <c r="A57" s="5"/>
      <c r="B57" s="38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40"/>
      <c r="R57" s="8"/>
      <c r="S57" s="8"/>
      <c r="T57" s="8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</row>
    <row r="58" spans="1:31" ht="33" customHeight="1" x14ac:dyDescent="0.4"/>
    <row r="59" spans="1:31" ht="33" customHeight="1" x14ac:dyDescent="0.4"/>
    <row r="60" spans="1:31" ht="33" customHeight="1" x14ac:dyDescent="0.4"/>
    <row r="61" spans="1:31" ht="33" customHeight="1" x14ac:dyDescent="0.4"/>
    <row r="62" spans="1:31" ht="33" customHeight="1" x14ac:dyDescent="0.4"/>
    <row r="63" spans="1:31" ht="33" customHeight="1" x14ac:dyDescent="0.4"/>
    <row r="64" spans="1:31" ht="33" customHeight="1" x14ac:dyDescent="0.4"/>
    <row r="65" ht="33" customHeight="1" x14ac:dyDescent="0.4"/>
    <row r="66" ht="33" customHeight="1" x14ac:dyDescent="0.4"/>
    <row r="67" ht="33" customHeight="1" x14ac:dyDescent="0.4"/>
    <row r="68" ht="33" customHeight="1" x14ac:dyDescent="0.4"/>
    <row r="69" ht="33" customHeight="1" x14ac:dyDescent="0.4"/>
    <row r="70" ht="33" customHeight="1" x14ac:dyDescent="0.4"/>
    <row r="71" ht="33" customHeight="1" x14ac:dyDescent="0.4"/>
    <row r="72" ht="33" hidden="1" customHeight="1" x14ac:dyDescent="0.4"/>
    <row r="73" ht="33" hidden="1" customHeight="1" x14ac:dyDescent="0.4"/>
    <row r="74" hidden="1" x14ac:dyDescent="0.4"/>
  </sheetData>
  <mergeCells count="120">
    <mergeCell ref="B15:B16"/>
    <mergeCell ref="C15:H15"/>
    <mergeCell ref="C16:H16"/>
    <mergeCell ref="B7:J7"/>
    <mergeCell ref="B8:J8"/>
    <mergeCell ref="M8:Q8"/>
    <mergeCell ref="B9:J9"/>
    <mergeCell ref="M9:Q9"/>
    <mergeCell ref="B10:J10"/>
    <mergeCell ref="N10:Q10"/>
    <mergeCell ref="B2:Q2"/>
    <mergeCell ref="O4:Q4"/>
    <mergeCell ref="O5:Q5"/>
    <mergeCell ref="B6:I6"/>
    <mergeCell ref="O6:Q6"/>
    <mergeCell ref="B11:J11"/>
    <mergeCell ref="N11:Q11"/>
    <mergeCell ref="B12:J13"/>
    <mergeCell ref="N12:Q12"/>
    <mergeCell ref="O20:P20"/>
    <mergeCell ref="O21:P21"/>
    <mergeCell ref="O22:P22"/>
    <mergeCell ref="O23:P23"/>
    <mergeCell ref="B22:C22"/>
    <mergeCell ref="D22:J22"/>
    <mergeCell ref="B23:C23"/>
    <mergeCell ref="D23:J23"/>
    <mergeCell ref="C17:H17"/>
    <mergeCell ref="B20:C20"/>
    <mergeCell ref="D20:J20"/>
    <mergeCell ref="B21:C21"/>
    <mergeCell ref="D21:J21"/>
    <mergeCell ref="B26:C26"/>
    <mergeCell ref="D26:J26"/>
    <mergeCell ref="B27:C27"/>
    <mergeCell ref="D27:J27"/>
    <mergeCell ref="B24:C24"/>
    <mergeCell ref="D24:J24"/>
    <mergeCell ref="B25:C25"/>
    <mergeCell ref="D25:J25"/>
    <mergeCell ref="O24:P24"/>
    <mergeCell ref="O25:P25"/>
    <mergeCell ref="O26:P26"/>
    <mergeCell ref="O27:P27"/>
    <mergeCell ref="B30:C30"/>
    <mergeCell ref="D30:J30"/>
    <mergeCell ref="B31:C31"/>
    <mergeCell ref="D31:J31"/>
    <mergeCell ref="B28:C28"/>
    <mergeCell ref="D28:J28"/>
    <mergeCell ref="B29:C29"/>
    <mergeCell ref="D29:J29"/>
    <mergeCell ref="O28:P28"/>
    <mergeCell ref="O29:P29"/>
    <mergeCell ref="O30:P30"/>
    <mergeCell ref="O31:P31"/>
    <mergeCell ref="B34:C34"/>
    <mergeCell ref="D34:J34"/>
    <mergeCell ref="B35:C35"/>
    <mergeCell ref="D35:J35"/>
    <mergeCell ref="B32:C32"/>
    <mergeCell ref="D32:J32"/>
    <mergeCell ref="B33:C33"/>
    <mergeCell ref="D33:J33"/>
    <mergeCell ref="O32:P32"/>
    <mergeCell ref="O33:P33"/>
    <mergeCell ref="O34:P34"/>
    <mergeCell ref="O35:P35"/>
    <mergeCell ref="B38:C38"/>
    <mergeCell ref="D38:J38"/>
    <mergeCell ref="B39:C39"/>
    <mergeCell ref="D39:J39"/>
    <mergeCell ref="B36:C36"/>
    <mergeCell ref="D36:J36"/>
    <mergeCell ref="B37:C37"/>
    <mergeCell ref="D37:J37"/>
    <mergeCell ref="O36:P36"/>
    <mergeCell ref="O37:P37"/>
    <mergeCell ref="O38:P38"/>
    <mergeCell ref="O39:P39"/>
    <mergeCell ref="O44:P44"/>
    <mergeCell ref="O45:P45"/>
    <mergeCell ref="O46:P46"/>
    <mergeCell ref="D47:J47"/>
    <mergeCell ref="O47:P47"/>
    <mergeCell ref="O50:P50"/>
    <mergeCell ref="B40:C40"/>
    <mergeCell ref="D40:J40"/>
    <mergeCell ref="B41:C41"/>
    <mergeCell ref="D41:J41"/>
    <mergeCell ref="O40:P40"/>
    <mergeCell ref="O41:P41"/>
    <mergeCell ref="O42:P42"/>
    <mergeCell ref="O43:P43"/>
    <mergeCell ref="B42:C42"/>
    <mergeCell ref="D42:J42"/>
    <mergeCell ref="B43:C43"/>
    <mergeCell ref="D43:J43"/>
    <mergeCell ref="B47:C47"/>
    <mergeCell ref="B44:C44"/>
    <mergeCell ref="D44:J44"/>
    <mergeCell ref="B45:C45"/>
    <mergeCell ref="D45:J45"/>
    <mergeCell ref="B46:C46"/>
    <mergeCell ref="D46:J46"/>
    <mergeCell ref="B51:C51"/>
    <mergeCell ref="D51:E51"/>
    <mergeCell ref="F51:G51"/>
    <mergeCell ref="B52:C52"/>
    <mergeCell ref="D52:E52"/>
    <mergeCell ref="F52:G52"/>
    <mergeCell ref="B55:Q57"/>
    <mergeCell ref="B54:Q54"/>
    <mergeCell ref="B48:C48"/>
    <mergeCell ref="D48:J48"/>
    <mergeCell ref="O48:P48"/>
    <mergeCell ref="O49:P49"/>
    <mergeCell ref="B50:C50"/>
    <mergeCell ref="D50:E50"/>
    <mergeCell ref="F50:G50"/>
  </mergeCells>
  <phoneticPr fontId="1"/>
  <dataValidations count="2">
    <dataValidation type="list" allowBlank="1" showInputMessage="1" showErrorMessage="1" sqref="K21:K48" xr:uid="{4F3E9301-AFCB-41F1-BAAF-4F09DCE9A626}">
      <formula1>"※"</formula1>
    </dataValidation>
    <dataValidation type="date" operator="greaterThan" allowBlank="1" showInputMessage="1" showErrorMessage="1" errorTitle="日付の入力エラー" error="正しい日付を入力してください。" sqref="O4:Q5 B21:B48" xr:uid="{A65406DC-DAA7-42AD-8C11-2F7CAC165CD2}">
      <formula1>1</formula1>
    </dataValidation>
  </dataValidations>
  <printOptions horizontalCentered="1"/>
  <pageMargins left="0.70866141732283472" right="0.70866141732283472" top="0.55118110236220474" bottom="0.55118110236220474" header="0.31496062992125984" footer="0.31496062992125984"/>
  <pageSetup paperSize="9" scale="5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74"/>
  <sheetViews>
    <sheetView tabSelected="1" topLeftCell="A26" zoomScale="70" zoomScaleNormal="70" workbookViewId="0">
      <selection activeCell="V46" sqref="V46"/>
    </sheetView>
  </sheetViews>
  <sheetFormatPr defaultColWidth="0" defaultRowHeight="17.25" customHeight="1" zeroHeight="1" x14ac:dyDescent="0.4"/>
  <cols>
    <col min="1" max="1" width="2" style="5" customWidth="1"/>
    <col min="2" max="2" width="10.44140625" style="5" customWidth="1"/>
    <col min="3" max="3" width="6" style="5" customWidth="1"/>
    <col min="4" max="8" width="8" style="5" customWidth="1"/>
    <col min="9" max="10" width="7.44140625" style="5" customWidth="1"/>
    <col min="11" max="11" width="9.44140625" style="5" customWidth="1"/>
    <col min="12" max="13" width="8" style="5" customWidth="1"/>
    <col min="14" max="14" width="14.5546875" style="5" bestFit="1" customWidth="1"/>
    <col min="15" max="17" width="8" style="5" customWidth="1"/>
    <col min="18" max="19" width="8" style="5" hidden="1" customWidth="1"/>
    <col min="20" max="20" width="1.88671875" style="5" customWidth="1"/>
    <col min="21" max="22" width="10.6640625" style="5" customWidth="1"/>
    <col min="23" max="23" width="12.21875" style="5" bestFit="1" customWidth="1"/>
    <col min="24" max="31" width="10.6640625" style="5" customWidth="1"/>
    <col min="32" max="32" width="0" style="5" hidden="1" customWidth="1"/>
    <col min="33" max="16384" width="10.6640625" style="5" hidden="1"/>
  </cols>
  <sheetData>
    <row r="1" spans="1:31" s="1" customFormat="1" hidden="1" x14ac:dyDescent="0.4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s="1" customFormat="1" ht="53.1" customHeight="1" x14ac:dyDescent="0.4">
      <c r="A2" s="8"/>
      <c r="B2" s="86" t="s">
        <v>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"/>
      <c r="S2" s="8"/>
      <c r="T2" s="8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 s="1" customFormat="1" hidden="1" x14ac:dyDescent="0.4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 spans="1:31" s="1" customFormat="1" ht="30.95" customHeight="1" x14ac:dyDescent="0.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21" t="s">
        <v>1</v>
      </c>
      <c r="O4" s="87">
        <v>46234</v>
      </c>
      <c r="P4" s="87"/>
      <c r="Q4" s="87"/>
      <c r="R4" s="8"/>
      <c r="S4" s="8"/>
      <c r="T4" s="8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 spans="1:31" s="1" customFormat="1" ht="30.95" customHeight="1" x14ac:dyDescent="0.4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21" t="s">
        <v>3</v>
      </c>
      <c r="O5" s="88">
        <v>2370001017442</v>
      </c>
      <c r="P5" s="88"/>
      <c r="Q5" s="88"/>
      <c r="R5" s="8"/>
      <c r="S5" s="8"/>
      <c r="T5" s="8"/>
      <c r="U5" s="5"/>
      <c r="V5" s="5"/>
      <c r="W5" s="5"/>
      <c r="X5" s="5"/>
      <c r="Y5" s="5"/>
      <c r="Z5" s="5"/>
      <c r="AA5" s="5"/>
      <c r="AB5" s="5"/>
      <c r="AC5" s="5"/>
      <c r="AD5" s="5"/>
      <c r="AE5" s="5"/>
    </row>
    <row r="6" spans="1:31" s="1" customFormat="1" ht="30.95" customHeight="1" x14ac:dyDescent="0.4">
      <c r="A6" s="8"/>
      <c r="B6" s="89" t="s">
        <v>26</v>
      </c>
      <c r="C6" s="89"/>
      <c r="D6" s="89"/>
      <c r="E6" s="89"/>
      <c r="F6" s="89"/>
      <c r="G6" s="89"/>
      <c r="H6" s="89"/>
      <c r="I6" s="89"/>
      <c r="J6" s="18" t="s">
        <v>24</v>
      </c>
      <c r="M6" s="8"/>
      <c r="N6" s="21" t="s">
        <v>23</v>
      </c>
      <c r="O6" s="90"/>
      <c r="P6" s="90"/>
      <c r="Q6" s="90"/>
      <c r="R6" s="8"/>
      <c r="S6" s="8"/>
      <c r="T6" s="8"/>
      <c r="U6" s="5"/>
      <c r="V6" s="5"/>
      <c r="W6" s="5"/>
      <c r="X6" s="5"/>
      <c r="Y6" s="5"/>
      <c r="Z6" s="5"/>
      <c r="AA6" s="5"/>
      <c r="AB6" s="5"/>
      <c r="AC6" s="5"/>
      <c r="AD6" s="5"/>
      <c r="AE6" s="5"/>
    </row>
    <row r="7" spans="1:31" s="1" customFormat="1" ht="26.1" customHeight="1" x14ac:dyDescent="0.4">
      <c r="A7" s="8"/>
      <c r="B7" s="72"/>
      <c r="C7" s="72"/>
      <c r="D7" s="72"/>
      <c r="E7" s="72"/>
      <c r="F7" s="72"/>
      <c r="G7" s="72"/>
      <c r="H7" s="72"/>
      <c r="I7" s="72"/>
      <c r="J7" s="72"/>
      <c r="K7" s="8"/>
      <c r="L7" s="8"/>
      <c r="M7" s="8"/>
      <c r="N7" s="9"/>
      <c r="O7" s="10"/>
      <c r="P7" s="10"/>
      <c r="Q7" s="10"/>
      <c r="R7" s="8"/>
      <c r="S7" s="8"/>
      <c r="T7" s="8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r="8" spans="1:31" s="1" customFormat="1" ht="33.950000000000003" customHeight="1" x14ac:dyDescent="0.4">
      <c r="A8" s="8"/>
      <c r="B8" s="73"/>
      <c r="C8" s="73"/>
      <c r="D8" s="73"/>
      <c r="E8" s="73"/>
      <c r="F8" s="73"/>
      <c r="G8" s="73"/>
      <c r="H8" s="73"/>
      <c r="I8" s="73"/>
      <c r="J8" s="73"/>
      <c r="K8" s="8"/>
      <c r="L8" s="8"/>
      <c r="M8" s="74" t="s">
        <v>30</v>
      </c>
      <c r="N8" s="74"/>
      <c r="O8" s="74"/>
      <c r="P8" s="74"/>
      <c r="Q8" s="74"/>
      <c r="R8" s="8"/>
      <c r="S8" s="8"/>
      <c r="T8" s="8"/>
      <c r="U8" s="5"/>
      <c r="V8" s="5"/>
      <c r="W8" s="5"/>
      <c r="X8" s="5"/>
      <c r="Y8" s="5"/>
      <c r="Z8" s="5"/>
      <c r="AA8" s="5"/>
      <c r="AB8" s="5"/>
      <c r="AC8" s="5"/>
      <c r="AD8" s="5"/>
      <c r="AE8" s="5"/>
    </row>
    <row r="9" spans="1:31" s="1" customFormat="1" ht="30" customHeight="1" x14ac:dyDescent="0.4">
      <c r="A9" s="8"/>
      <c r="B9" s="75"/>
      <c r="C9" s="75"/>
      <c r="D9" s="75"/>
      <c r="E9" s="75"/>
      <c r="F9" s="75"/>
      <c r="G9" s="75"/>
      <c r="H9" s="75"/>
      <c r="I9" s="75"/>
      <c r="J9" s="75"/>
      <c r="K9" s="8"/>
      <c r="L9" s="8"/>
      <c r="M9" s="72" t="s">
        <v>33</v>
      </c>
      <c r="N9" s="72"/>
      <c r="O9" s="72"/>
      <c r="P9" s="72"/>
      <c r="Q9" s="72"/>
      <c r="R9" s="8"/>
      <c r="S9" s="8"/>
      <c r="T9" s="8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 spans="1:31" s="1" customFormat="1" ht="38.1" customHeight="1" x14ac:dyDescent="0.4">
      <c r="A10" s="8"/>
      <c r="B10" s="76" t="s">
        <v>5</v>
      </c>
      <c r="C10" s="76"/>
      <c r="D10" s="76"/>
      <c r="E10" s="76"/>
      <c r="F10" s="76"/>
      <c r="G10" s="76"/>
      <c r="H10" s="76"/>
      <c r="I10" s="76"/>
      <c r="J10" s="76"/>
      <c r="K10" s="12"/>
      <c r="L10" s="12"/>
      <c r="M10" s="11" t="s">
        <v>2</v>
      </c>
      <c r="N10" s="77" t="s">
        <v>34</v>
      </c>
      <c r="O10" s="78"/>
      <c r="P10" s="78"/>
      <c r="Q10" s="78"/>
      <c r="R10" s="8"/>
      <c r="S10" s="8"/>
      <c r="T10" s="8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</row>
    <row r="11" spans="1:31" s="1" customFormat="1" ht="30" customHeight="1" x14ac:dyDescent="0.4">
      <c r="A11" s="8"/>
      <c r="B11" s="91" t="s">
        <v>6</v>
      </c>
      <c r="C11" s="84"/>
      <c r="D11" s="84"/>
      <c r="E11" s="84"/>
      <c r="F11" s="84"/>
      <c r="G11" s="84"/>
      <c r="H11" s="84"/>
      <c r="I11" s="84"/>
      <c r="J11" s="92"/>
      <c r="K11" s="8"/>
      <c r="L11" s="8"/>
      <c r="M11" s="11" t="s">
        <v>4</v>
      </c>
      <c r="N11" s="78" t="s">
        <v>35</v>
      </c>
      <c r="O11" s="78"/>
      <c r="P11" s="78"/>
      <c r="Q11" s="78"/>
      <c r="R11" s="8"/>
      <c r="S11" s="8"/>
      <c r="T11" s="8"/>
      <c r="U11" s="5"/>
      <c r="V11" s="5"/>
      <c r="W11" s="20"/>
      <c r="X11" s="5"/>
      <c r="Y11" s="5"/>
      <c r="Z11" s="5"/>
      <c r="AA11" s="5"/>
      <c r="AB11" s="5"/>
      <c r="AC11" s="5"/>
      <c r="AD11" s="5"/>
      <c r="AE11" s="5"/>
    </row>
    <row r="12" spans="1:31" s="1" customFormat="1" ht="30" customHeight="1" x14ac:dyDescent="0.4">
      <c r="A12" s="8"/>
      <c r="B12" s="93">
        <f>O47</f>
        <v>21784</v>
      </c>
      <c r="C12" s="94"/>
      <c r="D12" s="94"/>
      <c r="E12" s="94"/>
      <c r="F12" s="94"/>
      <c r="G12" s="94"/>
      <c r="H12" s="94"/>
      <c r="I12" s="94"/>
      <c r="J12" s="95"/>
      <c r="K12" s="8"/>
      <c r="L12" s="8"/>
      <c r="M12" s="11" t="s">
        <v>19</v>
      </c>
      <c r="N12" s="78" t="s">
        <v>36</v>
      </c>
      <c r="O12" s="78"/>
      <c r="P12" s="78"/>
      <c r="Q12" s="78"/>
      <c r="R12" s="8"/>
      <c r="S12" s="8"/>
      <c r="T12" s="8"/>
      <c r="U12" s="5"/>
      <c r="V12" s="23"/>
      <c r="W12" s="5"/>
      <c r="X12" s="5"/>
      <c r="Y12" s="5"/>
      <c r="Z12" s="5"/>
      <c r="AA12" s="5"/>
      <c r="AB12" s="5"/>
      <c r="AC12" s="5"/>
      <c r="AD12" s="5"/>
      <c r="AE12" s="5"/>
    </row>
    <row r="13" spans="1:31" s="1" customFormat="1" ht="32.1" customHeight="1" x14ac:dyDescent="0.4">
      <c r="A13" s="8"/>
      <c r="B13" s="96"/>
      <c r="C13" s="97"/>
      <c r="D13" s="97"/>
      <c r="E13" s="97"/>
      <c r="F13" s="97"/>
      <c r="G13" s="97"/>
      <c r="H13" s="97"/>
      <c r="I13" s="97"/>
      <c r="J13" s="98"/>
      <c r="K13" s="8"/>
      <c r="L13" s="8"/>
      <c r="M13" s="8"/>
      <c r="N13" s="8"/>
      <c r="O13" s="8"/>
      <c r="P13" s="8"/>
      <c r="Q13" s="8"/>
      <c r="R13" s="8"/>
      <c r="S13" s="8"/>
      <c r="T13" s="8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 spans="1:31" s="1" customFormat="1" ht="32.1" customHeight="1" x14ac:dyDescent="0.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 spans="1:31" s="1" customFormat="1" ht="24" customHeight="1" x14ac:dyDescent="0.4">
      <c r="A15" s="8"/>
      <c r="B15" s="64" t="s">
        <v>7</v>
      </c>
      <c r="C15" s="66" t="s">
        <v>31</v>
      </c>
      <c r="D15" s="67"/>
      <c r="E15" s="67"/>
      <c r="F15" s="67"/>
      <c r="G15" s="67"/>
      <c r="H15" s="6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 spans="1:31" s="1" customFormat="1" ht="24" customHeight="1" x14ac:dyDescent="0.4">
      <c r="A16" s="8"/>
      <c r="B16" s="65"/>
      <c r="C16" s="69" t="s">
        <v>32</v>
      </c>
      <c r="D16" s="70"/>
      <c r="E16" s="70"/>
      <c r="F16" s="70"/>
      <c r="G16" s="70"/>
      <c r="H16" s="71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 spans="1:31" s="1" customFormat="1" ht="24" customHeight="1" x14ac:dyDescent="0.4">
      <c r="A17" s="8"/>
      <c r="B17" s="15" t="s">
        <v>8</v>
      </c>
      <c r="C17" s="79">
        <v>46275</v>
      </c>
      <c r="D17" s="80"/>
      <c r="E17" s="80"/>
      <c r="F17" s="80"/>
      <c r="G17" s="80"/>
      <c r="H17" s="81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</row>
    <row r="18" spans="1:31" s="1" customFormat="1" ht="24" customHeight="1" x14ac:dyDescent="0.4">
      <c r="A18" s="8"/>
      <c r="B18" s="13" t="s">
        <v>17</v>
      </c>
      <c r="C18" s="13"/>
      <c r="D18" s="13"/>
      <c r="E18" s="13"/>
      <c r="F18" s="13"/>
      <c r="G18" s="13"/>
      <c r="H18" s="13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1" s="1" customFormat="1" ht="24" customHeight="1" x14ac:dyDescent="0.4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1" s="1" customFormat="1" ht="24" customHeight="1" x14ac:dyDescent="0.4">
      <c r="A20" s="8"/>
      <c r="B20" s="82" t="s">
        <v>20</v>
      </c>
      <c r="C20" s="63"/>
      <c r="D20" s="83" t="s">
        <v>21</v>
      </c>
      <c r="E20" s="84"/>
      <c r="F20" s="84"/>
      <c r="G20" s="84"/>
      <c r="H20" s="84"/>
      <c r="I20" s="84"/>
      <c r="J20" s="85"/>
      <c r="K20" s="17" t="s">
        <v>18</v>
      </c>
      <c r="L20" s="16" t="s">
        <v>11</v>
      </c>
      <c r="M20" s="16" t="s">
        <v>10</v>
      </c>
      <c r="N20" s="16" t="s">
        <v>9</v>
      </c>
      <c r="O20" s="63" t="s">
        <v>37</v>
      </c>
      <c r="P20" s="63"/>
      <c r="Q20" s="8"/>
      <c r="R20" s="8"/>
      <c r="S20" s="8"/>
      <c r="T20" s="8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1" s="1" customFormat="1" ht="24" customHeight="1" x14ac:dyDescent="0.4">
      <c r="A21" s="8"/>
      <c r="B21" s="57">
        <v>46198</v>
      </c>
      <c r="C21" s="58"/>
      <c r="D21" s="24" t="s">
        <v>25</v>
      </c>
      <c r="E21" s="25"/>
      <c r="F21" s="25"/>
      <c r="G21" s="25"/>
      <c r="H21" s="25"/>
      <c r="I21" s="25"/>
      <c r="J21" s="25"/>
      <c r="K21" s="6" t="s">
        <v>22</v>
      </c>
      <c r="L21" s="3">
        <v>1</v>
      </c>
      <c r="M21" s="4"/>
      <c r="N21" s="19" t="str">
        <f>IF(ISBLANK(B21),"",IF(K21="","10%","8%"))</f>
        <v>8%</v>
      </c>
      <c r="O21" s="53">
        <v>1399</v>
      </c>
      <c r="P21" s="54"/>
      <c r="Q21" s="8"/>
      <c r="R21" s="8"/>
      <c r="S21" s="8"/>
      <c r="T21" s="8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1" s="1" customFormat="1" ht="24" customHeight="1" x14ac:dyDescent="0.4">
      <c r="A22" s="8"/>
      <c r="B22" s="57">
        <v>46198</v>
      </c>
      <c r="C22" s="58"/>
      <c r="D22" s="24" t="s">
        <v>25</v>
      </c>
      <c r="E22" s="25"/>
      <c r="F22" s="25"/>
      <c r="G22" s="25"/>
      <c r="H22" s="25"/>
      <c r="I22" s="25"/>
      <c r="J22" s="26"/>
      <c r="K22" s="6"/>
      <c r="L22" s="3">
        <v>1</v>
      </c>
      <c r="M22" s="4"/>
      <c r="N22" s="19" t="str">
        <f>IF(ISBLANK(B22),"",IF(K22="","10%","8%"))</f>
        <v>10%</v>
      </c>
      <c r="O22" s="53">
        <v>550</v>
      </c>
      <c r="P22" s="54"/>
      <c r="Q22" s="8"/>
      <c r="R22" s="8"/>
      <c r="S22" s="8"/>
      <c r="T22" s="8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1" s="1" customFormat="1" ht="24" customHeight="1" x14ac:dyDescent="0.4">
      <c r="A23" s="8"/>
      <c r="B23" s="57">
        <v>46203</v>
      </c>
      <c r="C23" s="58"/>
      <c r="D23" s="24" t="s">
        <v>25</v>
      </c>
      <c r="E23" s="25"/>
      <c r="F23" s="25"/>
      <c r="G23" s="25"/>
      <c r="H23" s="25"/>
      <c r="I23" s="25"/>
      <c r="J23" s="26"/>
      <c r="K23" s="6" t="s">
        <v>22</v>
      </c>
      <c r="L23" s="3">
        <v>1</v>
      </c>
      <c r="M23" s="4"/>
      <c r="N23" s="19">
        <v>0.08</v>
      </c>
      <c r="O23" s="53">
        <v>4533</v>
      </c>
      <c r="P23" s="54"/>
      <c r="Q23" s="8"/>
      <c r="R23" s="8"/>
      <c r="S23" s="8"/>
      <c r="T23" s="8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1" s="1" customFormat="1" ht="24" customHeight="1" x14ac:dyDescent="0.4">
      <c r="A24" s="8"/>
      <c r="B24" s="57">
        <v>46203</v>
      </c>
      <c r="C24" s="58"/>
      <c r="D24" s="24" t="s">
        <v>25</v>
      </c>
      <c r="E24" s="25"/>
      <c r="F24" s="25"/>
      <c r="G24" s="25"/>
      <c r="H24" s="25"/>
      <c r="I24" s="25"/>
      <c r="J24" s="26"/>
      <c r="K24" s="6"/>
      <c r="L24" s="3">
        <v>1</v>
      </c>
      <c r="M24" s="4"/>
      <c r="N24" s="19">
        <v>0.1</v>
      </c>
      <c r="O24" s="53">
        <v>550</v>
      </c>
      <c r="P24" s="54"/>
      <c r="Q24" s="8"/>
      <c r="R24" s="8"/>
      <c r="S24" s="8"/>
      <c r="T24" s="8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1" s="1" customFormat="1" ht="24" customHeight="1" x14ac:dyDescent="0.4">
      <c r="A25" s="8"/>
      <c r="B25" s="57">
        <v>46210</v>
      </c>
      <c r="C25" s="58"/>
      <c r="D25" s="24" t="s">
        <v>25</v>
      </c>
      <c r="E25" s="25"/>
      <c r="F25" s="25"/>
      <c r="G25" s="25"/>
      <c r="H25" s="25"/>
      <c r="I25" s="25"/>
      <c r="J25" s="26"/>
      <c r="K25" s="6" t="s">
        <v>22</v>
      </c>
      <c r="L25" s="3">
        <v>1</v>
      </c>
      <c r="M25" s="4"/>
      <c r="N25" s="19">
        <v>0.08</v>
      </c>
      <c r="O25" s="53">
        <v>7590</v>
      </c>
      <c r="P25" s="54"/>
      <c r="Q25" s="8"/>
      <c r="R25" s="8"/>
      <c r="S25" s="8"/>
      <c r="T25" s="8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1" s="1" customFormat="1" ht="24" customHeight="1" x14ac:dyDescent="0.4">
      <c r="A26" s="8"/>
      <c r="B26" s="57">
        <v>46210</v>
      </c>
      <c r="C26" s="58"/>
      <c r="D26" s="24" t="s">
        <v>25</v>
      </c>
      <c r="E26" s="25"/>
      <c r="F26" s="25"/>
      <c r="G26" s="25"/>
      <c r="H26" s="25"/>
      <c r="I26" s="25"/>
      <c r="J26" s="26"/>
      <c r="K26" s="6"/>
      <c r="L26" s="3">
        <v>1</v>
      </c>
      <c r="M26" s="4"/>
      <c r="N26" s="19">
        <v>0.1</v>
      </c>
      <c r="O26" s="53">
        <v>550</v>
      </c>
      <c r="P26" s="54"/>
      <c r="Q26" s="8"/>
      <c r="R26" s="8"/>
      <c r="S26" s="8"/>
      <c r="T26" s="8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1" s="1" customFormat="1" ht="24" customHeight="1" x14ac:dyDescent="0.4">
      <c r="A27" s="8"/>
      <c r="B27" s="57">
        <v>46217</v>
      </c>
      <c r="C27" s="58"/>
      <c r="D27" s="24" t="s">
        <v>25</v>
      </c>
      <c r="E27" s="25"/>
      <c r="F27" s="25"/>
      <c r="G27" s="25"/>
      <c r="H27" s="25"/>
      <c r="I27" s="25"/>
      <c r="J27" s="26"/>
      <c r="K27" s="6" t="s">
        <v>22</v>
      </c>
      <c r="L27" s="3">
        <v>1</v>
      </c>
      <c r="M27" s="4"/>
      <c r="N27" s="19">
        <v>0.08</v>
      </c>
      <c r="O27" s="53">
        <v>1938</v>
      </c>
      <c r="P27" s="54"/>
      <c r="Q27" s="8"/>
      <c r="R27" s="8"/>
      <c r="S27" s="8"/>
      <c r="T27" s="8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1:31" s="1" customFormat="1" ht="24" customHeight="1" x14ac:dyDescent="0.4">
      <c r="A28" s="8"/>
      <c r="B28" s="57">
        <v>46217</v>
      </c>
      <c r="C28" s="58"/>
      <c r="D28" s="24" t="s">
        <v>25</v>
      </c>
      <c r="E28" s="25"/>
      <c r="F28" s="25"/>
      <c r="G28" s="25"/>
      <c r="H28" s="25"/>
      <c r="I28" s="25"/>
      <c r="J28" s="26"/>
      <c r="K28" s="2"/>
      <c r="L28" s="3">
        <v>1</v>
      </c>
      <c r="M28" s="4"/>
      <c r="N28" s="19">
        <v>0.1</v>
      </c>
      <c r="O28" s="53">
        <v>550</v>
      </c>
      <c r="P28" s="54"/>
      <c r="Q28" s="8"/>
      <c r="R28" s="8"/>
      <c r="S28" s="8"/>
      <c r="T28" s="8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1" s="1" customFormat="1" ht="24" customHeight="1" x14ac:dyDescent="0.4">
      <c r="A29" s="8"/>
      <c r="B29" s="61">
        <v>46221</v>
      </c>
      <c r="C29" s="62"/>
      <c r="D29" s="24" t="s">
        <v>25</v>
      </c>
      <c r="E29" s="25"/>
      <c r="F29" s="25"/>
      <c r="G29" s="25"/>
      <c r="H29" s="25"/>
      <c r="I29" s="25"/>
      <c r="J29" s="26"/>
      <c r="K29" s="6" t="s">
        <v>22</v>
      </c>
      <c r="L29" s="3">
        <v>1</v>
      </c>
      <c r="M29" s="4"/>
      <c r="N29" s="19">
        <v>0.08</v>
      </c>
      <c r="O29" s="53">
        <v>3574</v>
      </c>
      <c r="P29" s="54"/>
      <c r="Q29" s="8"/>
      <c r="R29" s="8"/>
      <c r="S29" s="8"/>
      <c r="T29" s="8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1" s="1" customFormat="1" ht="24" customHeight="1" x14ac:dyDescent="0.4">
      <c r="A30" s="8"/>
      <c r="B30" s="61">
        <v>46221</v>
      </c>
      <c r="C30" s="62"/>
      <c r="D30" s="24" t="s">
        <v>25</v>
      </c>
      <c r="E30" s="25"/>
      <c r="F30" s="25"/>
      <c r="G30" s="25"/>
      <c r="H30" s="25"/>
      <c r="I30" s="25"/>
      <c r="J30" s="26"/>
      <c r="K30" s="2"/>
      <c r="L30" s="3">
        <v>1</v>
      </c>
      <c r="M30" s="4"/>
      <c r="N30" s="19">
        <v>0.1</v>
      </c>
      <c r="O30" s="53">
        <v>550</v>
      </c>
      <c r="P30" s="54"/>
      <c r="Q30" s="8"/>
      <c r="R30" s="8"/>
      <c r="S30" s="8"/>
      <c r="T30" s="8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1" s="1" customFormat="1" ht="24" customHeight="1" x14ac:dyDescent="0.4">
      <c r="A31" s="8"/>
      <c r="B31" s="61"/>
      <c r="C31" s="62"/>
      <c r="D31" s="24"/>
      <c r="E31" s="25"/>
      <c r="F31" s="25"/>
      <c r="G31" s="25"/>
      <c r="H31" s="25"/>
      <c r="I31" s="25"/>
      <c r="J31" s="26"/>
      <c r="K31" s="6"/>
      <c r="L31" s="3"/>
      <c r="M31" s="4"/>
      <c r="N31" s="19"/>
      <c r="O31" s="53"/>
      <c r="P31" s="54"/>
      <c r="Q31" s="8"/>
      <c r="R31" s="8"/>
      <c r="S31" s="8"/>
      <c r="T31" s="8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1:31" s="1" customFormat="1" ht="24" customHeight="1" x14ac:dyDescent="0.4">
      <c r="A32" s="8"/>
      <c r="B32" s="61"/>
      <c r="C32" s="62"/>
      <c r="D32" s="24"/>
      <c r="E32" s="25"/>
      <c r="F32" s="25"/>
      <c r="G32" s="25"/>
      <c r="H32" s="25"/>
      <c r="I32" s="25"/>
      <c r="J32" s="26"/>
      <c r="K32" s="6"/>
      <c r="L32" s="3"/>
      <c r="M32" s="4"/>
      <c r="N32" s="19"/>
      <c r="O32" s="53"/>
      <c r="P32" s="54"/>
      <c r="Q32" s="8"/>
      <c r="R32" s="8"/>
      <c r="S32" s="8"/>
      <c r="T32" s="8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spans="1:30" s="1" customFormat="1" ht="24" customHeight="1" x14ac:dyDescent="0.4">
      <c r="A33" s="8"/>
      <c r="B33" s="61"/>
      <c r="C33" s="62"/>
      <c r="D33" s="24"/>
      <c r="E33" s="25"/>
      <c r="F33" s="25"/>
      <c r="G33" s="25"/>
      <c r="H33" s="25"/>
      <c r="I33" s="25"/>
      <c r="J33" s="26"/>
      <c r="K33" s="6"/>
      <c r="L33" s="3"/>
      <c r="M33" s="4"/>
      <c r="N33" s="19"/>
      <c r="O33" s="53"/>
      <c r="P33" s="54"/>
      <c r="Q33" s="8"/>
      <c r="R33" s="8"/>
      <c r="S33" s="8"/>
      <c r="T33" s="8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spans="1:30" s="1" customFormat="1" ht="24" customHeight="1" x14ac:dyDescent="0.4">
      <c r="A34" s="8"/>
      <c r="B34" s="61"/>
      <c r="C34" s="62"/>
      <c r="D34" s="24"/>
      <c r="E34" s="25"/>
      <c r="F34" s="25"/>
      <c r="G34" s="25"/>
      <c r="H34" s="25"/>
      <c r="I34" s="25"/>
      <c r="J34" s="26"/>
      <c r="K34" s="6"/>
      <c r="L34" s="3"/>
      <c r="M34" s="4"/>
      <c r="N34" s="19"/>
      <c r="O34" s="53"/>
      <c r="P34" s="54"/>
      <c r="Q34" s="8"/>
      <c r="R34" s="8"/>
      <c r="S34" s="8"/>
      <c r="T34" s="8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1:30" s="1" customFormat="1" ht="24" customHeight="1" x14ac:dyDescent="0.4">
      <c r="A35" s="8"/>
      <c r="B35" s="61"/>
      <c r="C35" s="62"/>
      <c r="D35" s="24"/>
      <c r="E35" s="25"/>
      <c r="F35" s="25"/>
      <c r="G35" s="25"/>
      <c r="H35" s="25"/>
      <c r="I35" s="25"/>
      <c r="J35" s="26"/>
      <c r="K35" s="2"/>
      <c r="L35" s="3"/>
      <c r="M35" s="4"/>
      <c r="N35" s="19"/>
      <c r="O35" s="53"/>
      <c r="P35" s="54"/>
      <c r="Q35" s="8"/>
      <c r="R35" s="8"/>
      <c r="S35" s="8"/>
      <c r="T35" s="8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spans="1:30" s="1" customFormat="1" ht="24" customHeight="1" x14ac:dyDescent="0.4">
      <c r="A36" s="8"/>
      <c r="B36" s="59"/>
      <c r="C36" s="60"/>
      <c r="D36" s="24"/>
      <c r="E36" s="25"/>
      <c r="F36" s="25"/>
      <c r="G36" s="25"/>
      <c r="H36" s="25"/>
      <c r="I36" s="25"/>
      <c r="J36" s="26"/>
      <c r="K36" s="2"/>
      <c r="L36" s="3"/>
      <c r="M36" s="4"/>
      <c r="N36" s="19"/>
      <c r="O36" s="53"/>
      <c r="P36" s="54"/>
      <c r="Q36" s="8"/>
      <c r="R36" s="8"/>
      <c r="S36" s="8"/>
      <c r="T36" s="8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1:30" s="1" customFormat="1" ht="24" customHeight="1" x14ac:dyDescent="0.4">
      <c r="A37" s="8"/>
      <c r="B37" s="55"/>
      <c r="C37" s="56"/>
      <c r="D37" s="24"/>
      <c r="E37" s="25"/>
      <c r="F37" s="25"/>
      <c r="G37" s="25"/>
      <c r="H37" s="25"/>
      <c r="I37" s="25"/>
      <c r="J37" s="26"/>
      <c r="K37" s="2"/>
      <c r="L37" s="3"/>
      <c r="M37" s="4"/>
      <c r="N37" s="19" t="str">
        <f t="shared" ref="N37:N43" si="0">IF(ISBLANK(B37),"",IF(K37="","10%","8%"))</f>
        <v/>
      </c>
      <c r="O37" s="53"/>
      <c r="P37" s="54"/>
      <c r="Q37" s="8"/>
      <c r="R37" s="8"/>
      <c r="S37" s="8"/>
      <c r="T37" s="8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 s="1" customFormat="1" ht="24" customHeight="1" x14ac:dyDescent="0.4">
      <c r="A38" s="8"/>
      <c r="B38" s="55"/>
      <c r="C38" s="56"/>
      <c r="D38" s="24"/>
      <c r="E38" s="25"/>
      <c r="F38" s="25"/>
      <c r="G38" s="25"/>
      <c r="H38" s="25"/>
      <c r="I38" s="25"/>
      <c r="J38" s="26"/>
      <c r="K38" s="2"/>
      <c r="L38" s="3"/>
      <c r="M38" s="4"/>
      <c r="N38" s="19" t="str">
        <f t="shared" si="0"/>
        <v/>
      </c>
      <c r="O38" s="53"/>
      <c r="P38" s="54"/>
      <c r="Q38" s="8"/>
      <c r="R38" s="8"/>
      <c r="S38" s="8"/>
      <c r="T38" s="8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1:30" s="1" customFormat="1" ht="24" customHeight="1" x14ac:dyDescent="0.4">
      <c r="A39" s="8"/>
      <c r="B39" s="55"/>
      <c r="C39" s="56"/>
      <c r="D39" s="24"/>
      <c r="E39" s="25"/>
      <c r="F39" s="25"/>
      <c r="G39" s="25"/>
      <c r="H39" s="25"/>
      <c r="I39" s="25"/>
      <c r="J39" s="26"/>
      <c r="K39" s="2"/>
      <c r="L39" s="3"/>
      <c r="M39" s="4"/>
      <c r="N39" s="19" t="str">
        <f t="shared" si="0"/>
        <v/>
      </c>
      <c r="O39" s="53"/>
      <c r="P39" s="54"/>
      <c r="Q39" s="8"/>
      <c r="R39" s="8"/>
      <c r="S39" s="8"/>
      <c r="T39" s="8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30" s="1" customFormat="1" ht="24" customHeight="1" x14ac:dyDescent="0.4">
      <c r="A40" s="8"/>
      <c r="B40" s="55"/>
      <c r="C40" s="56"/>
      <c r="D40" s="24"/>
      <c r="E40" s="25"/>
      <c r="F40" s="25"/>
      <c r="G40" s="25"/>
      <c r="H40" s="25"/>
      <c r="I40" s="25"/>
      <c r="J40" s="26"/>
      <c r="K40" s="2"/>
      <c r="L40" s="3"/>
      <c r="M40" s="4"/>
      <c r="N40" s="19" t="str">
        <f t="shared" si="0"/>
        <v/>
      </c>
      <c r="O40" s="53"/>
      <c r="P40" s="54"/>
      <c r="Q40" s="8"/>
      <c r="R40" s="8"/>
      <c r="S40" s="8"/>
      <c r="T40" s="8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1:30" s="1" customFormat="1" ht="24" customHeight="1" x14ac:dyDescent="0.4">
      <c r="A41" s="8"/>
      <c r="B41" s="57"/>
      <c r="C41" s="58"/>
      <c r="D41" s="24"/>
      <c r="E41" s="25"/>
      <c r="F41" s="25"/>
      <c r="G41" s="25"/>
      <c r="H41" s="25"/>
      <c r="I41" s="25"/>
      <c r="J41" s="26"/>
      <c r="K41" s="2"/>
      <c r="L41" s="3"/>
      <c r="M41" s="4"/>
      <c r="N41" s="19" t="str">
        <f t="shared" si="0"/>
        <v/>
      </c>
      <c r="O41" s="53"/>
      <c r="P41" s="54"/>
      <c r="Q41" s="8"/>
      <c r="R41" s="8"/>
      <c r="S41" s="8"/>
      <c r="T41" s="8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 s="1" customFormat="1" ht="24" customHeight="1" x14ac:dyDescent="0.4">
      <c r="A42" s="8"/>
      <c r="B42" s="44"/>
      <c r="C42" s="45"/>
      <c r="D42" s="24"/>
      <c r="E42" s="25"/>
      <c r="F42" s="25"/>
      <c r="G42" s="25"/>
      <c r="H42" s="25"/>
      <c r="I42" s="25"/>
      <c r="J42" s="26"/>
      <c r="K42" s="2"/>
      <c r="L42" s="3"/>
      <c r="M42" s="4"/>
      <c r="N42" s="19" t="str">
        <f t="shared" si="0"/>
        <v/>
      </c>
      <c r="O42" s="53"/>
      <c r="P42" s="54"/>
      <c r="Q42" s="8"/>
      <c r="R42" s="8"/>
      <c r="S42" s="8"/>
      <c r="T42" s="8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 s="1" customFormat="1" ht="24" customHeight="1" x14ac:dyDescent="0.4">
      <c r="A43" s="8"/>
      <c r="B43" s="57"/>
      <c r="C43" s="58"/>
      <c r="D43" s="24"/>
      <c r="E43" s="25"/>
      <c r="F43" s="25"/>
      <c r="G43" s="25"/>
      <c r="H43" s="25"/>
      <c r="I43" s="25"/>
      <c r="J43" s="26"/>
      <c r="K43" s="2"/>
      <c r="L43" s="3"/>
      <c r="M43" s="4"/>
      <c r="N43" s="19" t="str">
        <f t="shared" si="0"/>
        <v/>
      </c>
      <c r="O43" s="53"/>
      <c r="P43" s="54"/>
      <c r="Q43" s="8"/>
      <c r="R43" s="8"/>
      <c r="S43" s="8"/>
      <c r="T43" s="8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1:30" s="1" customFormat="1" ht="24" customHeight="1" x14ac:dyDescent="0.4">
      <c r="A44" s="8"/>
      <c r="B44" s="44"/>
      <c r="C44" s="45"/>
      <c r="D44" s="24"/>
      <c r="E44" s="25"/>
      <c r="F44" s="25"/>
      <c r="G44" s="25"/>
      <c r="H44" s="25"/>
      <c r="I44" s="25"/>
      <c r="J44" s="26"/>
      <c r="K44" s="2"/>
      <c r="L44" s="3"/>
      <c r="M44" s="4"/>
      <c r="N44" s="19" t="str">
        <f t="shared" ref="N44:N46" si="1">IF(ISBLANK(B44),"",IF(K44="","10%","8%"))</f>
        <v/>
      </c>
      <c r="O44" s="46"/>
      <c r="P44" s="46"/>
      <c r="Q44" s="8"/>
      <c r="R44" s="8"/>
      <c r="S44" s="8"/>
      <c r="T44" s="8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 s="1" customFormat="1" ht="24" customHeight="1" x14ac:dyDescent="0.4">
      <c r="A45" s="8"/>
      <c r="B45" s="57"/>
      <c r="C45" s="58"/>
      <c r="D45" s="24"/>
      <c r="E45" s="25"/>
      <c r="F45" s="25"/>
      <c r="G45" s="25"/>
      <c r="H45" s="25"/>
      <c r="I45" s="25"/>
      <c r="J45" s="26"/>
      <c r="K45" s="2"/>
      <c r="L45" s="3"/>
      <c r="M45" s="4"/>
      <c r="N45" s="19" t="str">
        <f t="shared" si="1"/>
        <v/>
      </c>
      <c r="O45" s="53"/>
      <c r="P45" s="54"/>
      <c r="Q45" s="8"/>
      <c r="R45" s="8"/>
      <c r="S45" s="8"/>
      <c r="T45" s="8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1:30" s="1" customFormat="1" ht="24" customHeight="1" x14ac:dyDescent="0.4">
      <c r="A46" s="8"/>
      <c r="B46" s="44"/>
      <c r="C46" s="45"/>
      <c r="D46" s="24"/>
      <c r="E46" s="25"/>
      <c r="F46" s="25"/>
      <c r="G46" s="25"/>
      <c r="H46" s="25"/>
      <c r="I46" s="25"/>
      <c r="J46" s="26"/>
      <c r="K46" s="2"/>
      <c r="L46" s="3"/>
      <c r="M46" s="4"/>
      <c r="N46" s="19" t="str">
        <f t="shared" si="1"/>
        <v/>
      </c>
      <c r="O46" s="46"/>
      <c r="P46" s="46"/>
      <c r="Q46" s="8"/>
      <c r="R46" s="8"/>
      <c r="S46" s="8"/>
      <c r="T46" s="8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 s="1" customFormat="1" ht="24" customHeight="1" x14ac:dyDescent="0.4">
      <c r="A47" s="8"/>
      <c r="B47" s="13" t="s">
        <v>16</v>
      </c>
      <c r="C47" s="13"/>
      <c r="D47" s="13"/>
      <c r="E47" s="13"/>
      <c r="F47" s="13"/>
      <c r="G47" s="13"/>
      <c r="H47" s="13"/>
      <c r="I47" s="13"/>
      <c r="J47" s="13"/>
      <c r="K47" s="13"/>
      <c r="L47" s="8"/>
      <c r="M47" s="13"/>
      <c r="N47" s="22" t="s">
        <v>40</v>
      </c>
      <c r="O47" s="47">
        <f>F49+F50</f>
        <v>21784</v>
      </c>
      <c r="P47" s="48"/>
      <c r="Q47" s="8"/>
      <c r="R47" s="8"/>
      <c r="S47" s="8"/>
      <c r="T47" s="8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 spans="1:30" s="1" customFormat="1" ht="24" customHeight="1" x14ac:dyDescent="0.4">
      <c r="A48" s="8"/>
      <c r="B48" s="49" t="s">
        <v>12</v>
      </c>
      <c r="C48" s="50"/>
      <c r="D48" s="50" t="s">
        <v>38</v>
      </c>
      <c r="E48" s="50"/>
      <c r="F48" s="51" t="s">
        <v>37</v>
      </c>
      <c r="G48" s="52"/>
      <c r="H48" s="13"/>
      <c r="I48" s="13"/>
      <c r="J48" s="13"/>
      <c r="K48" s="13"/>
      <c r="L48" s="13"/>
      <c r="M48" s="13"/>
      <c r="N48" s="22" t="s">
        <v>39</v>
      </c>
      <c r="O48" s="30">
        <f>SUM(D49:E50)</f>
        <v>1684.925925925927</v>
      </c>
      <c r="P48" s="31"/>
      <c r="Q48" s="8"/>
      <c r="R48" s="8"/>
      <c r="S48" s="8"/>
      <c r="T48" s="8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1:31" s="1" customFormat="1" ht="24" customHeight="1" x14ac:dyDescent="0.4">
      <c r="A49" s="8"/>
      <c r="B49" s="27" t="s">
        <v>14</v>
      </c>
      <c r="C49" s="28"/>
      <c r="D49" s="29">
        <f>F49-(F49/1.08)</f>
        <v>1409.925925925927</v>
      </c>
      <c r="E49" s="29"/>
      <c r="F49" s="30">
        <f>O21+O23+O25+O27+O29+O31+O33</f>
        <v>19034</v>
      </c>
      <c r="G49" s="31"/>
      <c r="H49" s="13"/>
      <c r="I49" s="13"/>
      <c r="J49" s="13"/>
      <c r="K49" s="13"/>
      <c r="L49" s="13"/>
      <c r="M49" s="13"/>
      <c r="N49" s="8"/>
      <c r="O49" s="8"/>
      <c r="P49" s="8"/>
      <c r="Q49" s="8"/>
      <c r="R49" s="5"/>
      <c r="S49" s="5"/>
      <c r="T49" s="8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1" s="1" customFormat="1" ht="24" customHeight="1" x14ac:dyDescent="0.4">
      <c r="A50" s="8"/>
      <c r="B50" s="27" t="s">
        <v>13</v>
      </c>
      <c r="C50" s="28"/>
      <c r="D50" s="29">
        <f>F50/10</f>
        <v>275</v>
      </c>
      <c r="E50" s="29"/>
      <c r="F50" s="30">
        <f>O22+O24+O26+O28+O30+O32+O34+O36+O38</f>
        <v>2750</v>
      </c>
      <c r="G50" s="31"/>
      <c r="H50" s="13"/>
      <c r="I50" s="13"/>
      <c r="J50" s="13"/>
      <c r="K50" s="13"/>
      <c r="L50" s="13"/>
      <c r="M50" s="13"/>
      <c r="N50" s="14"/>
      <c r="O50" s="7"/>
      <c r="P50" s="7"/>
      <c r="Q50" s="7"/>
      <c r="R50" s="8"/>
      <c r="S50" s="8"/>
      <c r="T50" s="8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1" s="1" customFormat="1" ht="24" customHeight="1" x14ac:dyDescent="0.4">
      <c r="A51" s="8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4"/>
      <c r="O51" s="14"/>
      <c r="P51" s="14"/>
      <c r="Q51" s="14"/>
      <c r="R51" s="8"/>
      <c r="S51" s="8"/>
      <c r="T51" s="8"/>
      <c r="U51" s="5"/>
      <c r="V51" s="5"/>
      <c r="W51" s="5"/>
      <c r="X51" s="5"/>
      <c r="Y51" s="5"/>
      <c r="Z51" s="5"/>
      <c r="AA51" s="5"/>
    </row>
    <row r="52" spans="1:31" s="1" customFormat="1" ht="24" customHeight="1" x14ac:dyDescent="0.4">
      <c r="A52" s="8"/>
      <c r="B52" s="41" t="s">
        <v>15</v>
      </c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3"/>
      <c r="R52" s="8"/>
      <c r="S52" s="8"/>
      <c r="T52" s="8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</row>
    <row r="53" spans="1:31" s="1" customFormat="1" ht="18.95" customHeight="1" x14ac:dyDescent="0.4">
      <c r="A53" s="8"/>
      <c r="B53" s="32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4"/>
      <c r="R53" s="8"/>
      <c r="S53" s="8"/>
      <c r="T53" s="8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</row>
    <row r="54" spans="1:31" s="1" customFormat="1" ht="33" customHeight="1" x14ac:dyDescent="0.4">
      <c r="A54" s="8"/>
      <c r="B54" s="35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7"/>
      <c r="R54" s="8"/>
      <c r="S54" s="8"/>
      <c r="T54" s="8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</row>
    <row r="55" spans="1:31" s="1" customFormat="1" ht="33" customHeight="1" x14ac:dyDescent="0.4">
      <c r="A55" s="8"/>
      <c r="B55" s="38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40"/>
      <c r="R55" s="8"/>
      <c r="S55" s="8"/>
      <c r="T55" s="8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</row>
    <row r="56" spans="1:31" s="1" customFormat="1" ht="33" customHeight="1" x14ac:dyDescent="0.4">
      <c r="A56" s="8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</row>
    <row r="57" spans="1:31" s="1" customFormat="1" ht="33" customHeight="1" x14ac:dyDescent="0.4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</row>
    <row r="58" spans="1:31" ht="33" customHeight="1" x14ac:dyDescent="0.4"/>
    <row r="59" spans="1:31" ht="33" customHeight="1" x14ac:dyDescent="0.4"/>
    <row r="60" spans="1:31" ht="33" customHeight="1" x14ac:dyDescent="0.4"/>
    <row r="61" spans="1:31" ht="33" customHeight="1" x14ac:dyDescent="0.4"/>
    <row r="62" spans="1:31" ht="33" customHeight="1" x14ac:dyDescent="0.4"/>
    <row r="63" spans="1:31" ht="33" customHeight="1" x14ac:dyDescent="0.4"/>
    <row r="64" spans="1:31" ht="33" customHeight="1" x14ac:dyDescent="0.4"/>
    <row r="65" ht="33" customHeight="1" x14ac:dyDescent="0.4"/>
    <row r="66" ht="33" customHeight="1" x14ac:dyDescent="0.4"/>
    <row r="67" ht="33" customHeight="1" x14ac:dyDescent="0.4"/>
    <row r="68" ht="33" customHeight="1" x14ac:dyDescent="0.4"/>
    <row r="69" ht="33" customHeight="1" x14ac:dyDescent="0.4"/>
    <row r="70" ht="33" customHeight="1" x14ac:dyDescent="0.4"/>
    <row r="71" ht="33" customHeight="1" x14ac:dyDescent="0.4"/>
    <row r="72" ht="33" hidden="1" customHeight="1" x14ac:dyDescent="0.4"/>
    <row r="73" ht="33" hidden="1" customHeight="1" x14ac:dyDescent="0.4"/>
    <row r="74" hidden="1" x14ac:dyDescent="0.4"/>
  </sheetData>
  <mergeCells count="114">
    <mergeCell ref="B2:Q2"/>
    <mergeCell ref="O4:Q4"/>
    <mergeCell ref="O5:Q5"/>
    <mergeCell ref="B6:I6"/>
    <mergeCell ref="O6:Q6"/>
    <mergeCell ref="B11:J11"/>
    <mergeCell ref="N11:Q11"/>
    <mergeCell ref="B12:J13"/>
    <mergeCell ref="N12:Q12"/>
    <mergeCell ref="O20:P20"/>
    <mergeCell ref="O21:P21"/>
    <mergeCell ref="O22:P22"/>
    <mergeCell ref="O23:P23"/>
    <mergeCell ref="B15:B16"/>
    <mergeCell ref="C15:H15"/>
    <mergeCell ref="C16:H16"/>
    <mergeCell ref="B7:J7"/>
    <mergeCell ref="B8:J8"/>
    <mergeCell ref="M8:Q8"/>
    <mergeCell ref="B9:J9"/>
    <mergeCell ref="M9:Q9"/>
    <mergeCell ref="B10:J10"/>
    <mergeCell ref="N10:Q10"/>
    <mergeCell ref="B22:C22"/>
    <mergeCell ref="D22:J22"/>
    <mergeCell ref="B23:C23"/>
    <mergeCell ref="D23:J23"/>
    <mergeCell ref="C17:H17"/>
    <mergeCell ref="B20:C20"/>
    <mergeCell ref="D20:J20"/>
    <mergeCell ref="B21:C21"/>
    <mergeCell ref="D21:J21"/>
    <mergeCell ref="B26:C26"/>
    <mergeCell ref="D26:J26"/>
    <mergeCell ref="B24:C24"/>
    <mergeCell ref="D24:J24"/>
    <mergeCell ref="B25:C25"/>
    <mergeCell ref="D25:J25"/>
    <mergeCell ref="O24:P24"/>
    <mergeCell ref="O25:P25"/>
    <mergeCell ref="O26:P26"/>
    <mergeCell ref="B28:C28"/>
    <mergeCell ref="D28:J28"/>
    <mergeCell ref="B29:C29"/>
    <mergeCell ref="D29:J29"/>
    <mergeCell ref="B27:C27"/>
    <mergeCell ref="D27:J27"/>
    <mergeCell ref="O27:P27"/>
    <mergeCell ref="O28:P28"/>
    <mergeCell ref="O29:P29"/>
    <mergeCell ref="B32:C32"/>
    <mergeCell ref="D32:J32"/>
    <mergeCell ref="B33:C33"/>
    <mergeCell ref="D33:J33"/>
    <mergeCell ref="B30:C30"/>
    <mergeCell ref="D30:J30"/>
    <mergeCell ref="B31:C31"/>
    <mergeCell ref="D31:J31"/>
    <mergeCell ref="O30:P30"/>
    <mergeCell ref="O31:P31"/>
    <mergeCell ref="O32:P32"/>
    <mergeCell ref="O33:P33"/>
    <mergeCell ref="B36:C36"/>
    <mergeCell ref="D36:J36"/>
    <mergeCell ref="B37:C37"/>
    <mergeCell ref="D37:J37"/>
    <mergeCell ref="B34:C34"/>
    <mergeCell ref="D34:J34"/>
    <mergeCell ref="B35:C35"/>
    <mergeCell ref="D35:J35"/>
    <mergeCell ref="O34:P34"/>
    <mergeCell ref="O35:P35"/>
    <mergeCell ref="O36:P36"/>
    <mergeCell ref="O37:P37"/>
    <mergeCell ref="O42:P42"/>
    <mergeCell ref="O43:P43"/>
    <mergeCell ref="O44:P44"/>
    <mergeCell ref="D45:J45"/>
    <mergeCell ref="O45:P45"/>
    <mergeCell ref="O48:P48"/>
    <mergeCell ref="B38:C38"/>
    <mergeCell ref="D38:J38"/>
    <mergeCell ref="B39:C39"/>
    <mergeCell ref="D39:J39"/>
    <mergeCell ref="O38:P38"/>
    <mergeCell ref="O39:P39"/>
    <mergeCell ref="O40:P40"/>
    <mergeCell ref="O41:P41"/>
    <mergeCell ref="B40:C40"/>
    <mergeCell ref="D40:J40"/>
    <mergeCell ref="B41:C41"/>
    <mergeCell ref="D41:J41"/>
    <mergeCell ref="B45:C45"/>
    <mergeCell ref="B42:C42"/>
    <mergeCell ref="D42:J42"/>
    <mergeCell ref="B43:C43"/>
    <mergeCell ref="D43:J43"/>
    <mergeCell ref="B44:C44"/>
    <mergeCell ref="D44:J44"/>
    <mergeCell ref="B49:C49"/>
    <mergeCell ref="D49:E49"/>
    <mergeCell ref="F49:G49"/>
    <mergeCell ref="B50:C50"/>
    <mergeCell ref="D50:E50"/>
    <mergeCell ref="F50:G50"/>
    <mergeCell ref="B53:Q55"/>
    <mergeCell ref="B52:Q52"/>
    <mergeCell ref="B46:C46"/>
    <mergeCell ref="D46:J46"/>
    <mergeCell ref="O46:P46"/>
    <mergeCell ref="O47:P47"/>
    <mergeCell ref="B48:C48"/>
    <mergeCell ref="D48:E48"/>
    <mergeCell ref="F48:G48"/>
  </mergeCells>
  <phoneticPr fontId="1"/>
  <dataValidations count="2">
    <dataValidation type="date" operator="greaterThan" allowBlank="1" showInputMessage="1" showErrorMessage="1" errorTitle="日付の入力エラー" error="正しい日付を入力してください。" sqref="O4:Q5 B21:B46" xr:uid="{1E30A597-5895-46D3-8E63-5956F71FE966}">
      <formula1>1</formula1>
    </dataValidation>
    <dataValidation type="list" allowBlank="1" showInputMessage="1" showErrorMessage="1" sqref="K21:K46" xr:uid="{A8F56725-2BE3-4014-9E61-052441063292}">
      <formula1>"※"</formula1>
    </dataValidation>
  </dataValidations>
  <printOptions horizontalCentered="1"/>
  <pageMargins left="0.70866141732283472" right="0.70866141732283472" top="0.55118110236220474" bottom="0.55118110236220474" header="0.31496062992125984" footer="0.31496062992125984"/>
  <pageSetup paperSize="9" scale="5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国見ケ丘店</vt:lpstr>
      <vt:lpstr>八乙女店</vt:lpstr>
      <vt:lpstr>川平1丁目店</vt:lpstr>
      <vt:lpstr>堤町店</vt:lpstr>
      <vt:lpstr>広瀬立町店</vt:lpstr>
      <vt:lpstr>広瀬立町店!Print_Area</vt:lpstr>
      <vt:lpstr>国見ケ丘店!Print_Area</vt:lpstr>
      <vt:lpstr>川平1丁目店!Print_Area</vt:lpstr>
      <vt:lpstr>堤町店!Print_Area</vt:lpstr>
      <vt:lpstr>八乙女店!Print_Area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Ryusei Kakubari</dc:creator>
  <cp:lastModifiedBy>芳郎 我妻</cp:lastModifiedBy>
  <cp:lastPrinted>2026-08-03T00:55:26Z</cp:lastPrinted>
  <dcterms:created xsi:type="dcterms:W3CDTF">2022-12-20T01:06:52Z</dcterms:created>
  <dcterms:modified xsi:type="dcterms:W3CDTF">2026-08-03T00:57:24Z</dcterms:modified>
</cp:coreProperties>
</file>