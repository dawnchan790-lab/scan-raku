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ファミリーマート関連\納品書,納品一覧(大町２丁目店)\納品書\"/>
    </mc:Choice>
  </mc:AlternateContent>
  <xr:revisionPtr revIDLastSave="0" documentId="13_ncr:1_{A81020A1-E282-4309-AEF5-821B71612290}" xr6:coauthVersionLast="47" xr6:coauthVersionMax="47" xr10:uidLastSave="{00000000-0000-0000-0000-000000000000}"/>
  <bookViews>
    <workbookView xWindow="390" yWindow="390" windowWidth="22620" windowHeight="15075" activeTab="1" xr2:uid="{00000000-000D-0000-FFFF-FFFF00000000}"/>
  </bookViews>
  <sheets>
    <sheet name="入力　発注書" sheetId="2" r:id="rId1"/>
    <sheet name="大町２丁目" sheetId="3" r:id="rId2"/>
    <sheet name="八乙女中央" sheetId="4" r:id="rId3"/>
    <sheet name="川平1丁目" sheetId="7" r:id="rId4"/>
    <sheet name="堤町" sheetId="8" r:id="rId5"/>
    <sheet name="広瀬立町" sheetId="9" r:id="rId6"/>
    <sheet name="A" sheetId="10" r:id="rId7"/>
    <sheet name="B" sheetId="11" r:id="rId8"/>
  </sheets>
  <definedNames>
    <definedName name="_xlnm._FilterDatabase" localSheetId="6" hidden="1">A!$A$13:$G$73</definedName>
    <definedName name="_xlnm._FilterDatabase" localSheetId="7" hidden="1">B!$A$13:$G$74</definedName>
    <definedName name="_xlnm._FilterDatabase" localSheetId="5" hidden="1">広瀬立町!$A$13:$G$74</definedName>
    <definedName name="_xlnm._FilterDatabase" localSheetId="3" hidden="1">川平1丁目!$A$13:$G$74</definedName>
    <definedName name="_xlnm._FilterDatabase" localSheetId="1" hidden="1">大町２丁目!$A$13:$G$74</definedName>
    <definedName name="_xlnm._FilterDatabase" localSheetId="4" hidden="1">堤町!$A$13:$G$74</definedName>
    <definedName name="_xlnm._FilterDatabase" localSheetId="2" hidden="1">八乙女中央!$A$13:$G$74</definedName>
    <definedName name="_xlnm.Print_Area" localSheetId="5">広瀬立町!$A$1:$H$74</definedName>
    <definedName name="_xlnm.Print_Area" localSheetId="3">川平1丁目!$A$1:$H$74</definedName>
    <definedName name="_xlnm.Print_Area" localSheetId="1">大町２丁目!$A$1:$H$74</definedName>
    <definedName name="_xlnm.Print_Area" localSheetId="4">堤町!$A$1:$H$74</definedName>
    <definedName name="_xlnm.Print_Area" localSheetId="0">'入力　発注書'!$A$8:$Q$70</definedName>
    <definedName name="_xlnm.Print_Area" localSheetId="2">八乙女中央!$A$1:$H$74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8" l="1"/>
  <c r="B39" i="8"/>
  <c r="B26" i="8"/>
  <c r="B25" i="8"/>
  <c r="B24" i="8"/>
  <c r="B21" i="8"/>
  <c r="B20" i="8"/>
  <c r="B29" i="9"/>
  <c r="B30" i="9"/>
  <c r="B31" i="9"/>
  <c r="B32" i="9"/>
  <c r="B28" i="9"/>
  <c r="E60" i="7"/>
  <c r="E61" i="7"/>
  <c r="E62" i="7"/>
  <c r="E63" i="7"/>
  <c r="E64" i="7"/>
  <c r="E65" i="7"/>
  <c r="E66" i="7"/>
  <c r="E67" i="7"/>
  <c r="E68" i="7"/>
  <c r="E69" i="7"/>
  <c r="E70" i="7"/>
  <c r="E60" i="8"/>
  <c r="E61" i="8"/>
  <c r="E62" i="8"/>
  <c r="E63" i="8"/>
  <c r="E64" i="8"/>
  <c r="E65" i="8"/>
  <c r="E66" i="8"/>
  <c r="E67" i="8"/>
  <c r="E68" i="8"/>
  <c r="E69" i="8"/>
  <c r="E70" i="8"/>
  <c r="E60" i="9"/>
  <c r="E61" i="9"/>
  <c r="E62" i="9"/>
  <c r="E63" i="9"/>
  <c r="E64" i="9"/>
  <c r="E65" i="9"/>
  <c r="E66" i="9"/>
  <c r="E67" i="9"/>
  <c r="E68" i="9"/>
  <c r="E69" i="9"/>
  <c r="E70" i="9"/>
  <c r="E60" i="10"/>
  <c r="E61" i="10"/>
  <c r="E62" i="10"/>
  <c r="E63" i="10"/>
  <c r="E64" i="10"/>
  <c r="E65" i="10"/>
  <c r="E66" i="10"/>
  <c r="E67" i="10"/>
  <c r="E68" i="10"/>
  <c r="E69" i="10"/>
  <c r="E70" i="10"/>
  <c r="E60" i="11"/>
  <c r="E61" i="11"/>
  <c r="E62" i="11"/>
  <c r="E63" i="11"/>
  <c r="E64" i="11"/>
  <c r="E65" i="11"/>
  <c r="E66" i="11"/>
  <c r="E67" i="11"/>
  <c r="E68" i="11"/>
  <c r="E69" i="11"/>
  <c r="E70" i="11"/>
  <c r="E60" i="4"/>
  <c r="E61" i="4"/>
  <c r="E62" i="4"/>
  <c r="E63" i="4"/>
  <c r="E64" i="4"/>
  <c r="E65" i="4"/>
  <c r="E66" i="4"/>
  <c r="E67" i="4"/>
  <c r="E68" i="4"/>
  <c r="E69" i="4"/>
  <c r="E70" i="4"/>
  <c r="C61" i="7"/>
  <c r="C62" i="7"/>
  <c r="C63" i="7"/>
  <c r="C64" i="7"/>
  <c r="C65" i="7"/>
  <c r="C66" i="7"/>
  <c r="C67" i="7"/>
  <c r="C68" i="7"/>
  <c r="C69" i="7"/>
  <c r="C70" i="7"/>
  <c r="C61" i="8"/>
  <c r="C62" i="8"/>
  <c r="C63" i="8"/>
  <c r="C64" i="8"/>
  <c r="C65" i="8"/>
  <c r="C66" i="8"/>
  <c r="C67" i="8"/>
  <c r="C68" i="8"/>
  <c r="C69" i="8"/>
  <c r="C70" i="8"/>
  <c r="C61" i="9"/>
  <c r="C62" i="9"/>
  <c r="C63" i="9"/>
  <c r="C64" i="9"/>
  <c r="C65" i="9"/>
  <c r="C66" i="9"/>
  <c r="C67" i="9"/>
  <c r="C68" i="9"/>
  <c r="C69" i="9"/>
  <c r="C70" i="9"/>
  <c r="C61" i="10"/>
  <c r="F61" i="10" s="1"/>
  <c r="C62" i="10"/>
  <c r="F62" i="10" s="1"/>
  <c r="C63" i="10"/>
  <c r="F63" i="10" s="1"/>
  <c r="C64" i="10"/>
  <c r="C65" i="10"/>
  <c r="C66" i="10"/>
  <c r="C67" i="10"/>
  <c r="F67" i="10" s="1"/>
  <c r="C68" i="10"/>
  <c r="C69" i="10"/>
  <c r="F69" i="10" s="1"/>
  <c r="C70" i="10"/>
  <c r="C61" i="11"/>
  <c r="C62" i="11"/>
  <c r="C63" i="11"/>
  <c r="C64" i="11"/>
  <c r="F64" i="11" s="1"/>
  <c r="C65" i="11"/>
  <c r="F65" i="11" s="1"/>
  <c r="C66" i="11"/>
  <c r="C67" i="11"/>
  <c r="C68" i="11"/>
  <c r="C69" i="11"/>
  <c r="C70" i="11"/>
  <c r="C61" i="4"/>
  <c r="C62" i="4"/>
  <c r="C63" i="4"/>
  <c r="C64" i="4"/>
  <c r="C65" i="4"/>
  <c r="C66" i="4"/>
  <c r="C67" i="4"/>
  <c r="C68" i="4"/>
  <c r="C69" i="4"/>
  <c r="C70" i="4"/>
  <c r="C61" i="3"/>
  <c r="C62" i="3"/>
  <c r="C63" i="3"/>
  <c r="C64" i="3"/>
  <c r="C65" i="3"/>
  <c r="C66" i="3"/>
  <c r="C67" i="3"/>
  <c r="C68" i="3"/>
  <c r="C69" i="3"/>
  <c r="C70" i="3"/>
  <c r="E59" i="3"/>
  <c r="E60" i="3"/>
  <c r="E61" i="3"/>
  <c r="E62" i="3"/>
  <c r="E63" i="3"/>
  <c r="E64" i="3"/>
  <c r="E65" i="3"/>
  <c r="E66" i="3"/>
  <c r="E67" i="3"/>
  <c r="E68" i="3"/>
  <c r="E69" i="3"/>
  <c r="E70" i="3"/>
  <c r="B70" i="4"/>
  <c r="B70" i="7"/>
  <c r="B70" i="8"/>
  <c r="B70" i="9"/>
  <c r="B70" i="10"/>
  <c r="B70" i="11"/>
  <c r="B70" i="3"/>
  <c r="B60" i="4"/>
  <c r="B61" i="4"/>
  <c r="B62" i="4"/>
  <c r="B63" i="4"/>
  <c r="B64" i="4"/>
  <c r="B65" i="4"/>
  <c r="B66" i="4"/>
  <c r="B67" i="4"/>
  <c r="B68" i="4"/>
  <c r="B69" i="4"/>
  <c r="B60" i="7"/>
  <c r="B61" i="7"/>
  <c r="B62" i="7"/>
  <c r="B63" i="7"/>
  <c r="B64" i="7"/>
  <c r="B65" i="7"/>
  <c r="B66" i="7"/>
  <c r="B67" i="7"/>
  <c r="B68" i="7"/>
  <c r="B69" i="7"/>
  <c r="B60" i="8"/>
  <c r="B61" i="8"/>
  <c r="B62" i="8"/>
  <c r="B63" i="8"/>
  <c r="B64" i="8"/>
  <c r="B65" i="8"/>
  <c r="B66" i="8"/>
  <c r="B67" i="8"/>
  <c r="B68" i="8"/>
  <c r="B69" i="8"/>
  <c r="B60" i="9"/>
  <c r="B61" i="9"/>
  <c r="B62" i="9"/>
  <c r="B63" i="9"/>
  <c r="B64" i="9"/>
  <c r="B65" i="9"/>
  <c r="B66" i="9"/>
  <c r="B67" i="9"/>
  <c r="B68" i="9"/>
  <c r="B69" i="9"/>
  <c r="B60" i="10"/>
  <c r="B61" i="10"/>
  <c r="B62" i="10"/>
  <c r="B63" i="10"/>
  <c r="B64" i="10"/>
  <c r="B65" i="10"/>
  <c r="B66" i="10"/>
  <c r="B67" i="10"/>
  <c r="B68" i="10"/>
  <c r="B69" i="10"/>
  <c r="B60" i="11"/>
  <c r="B61" i="11"/>
  <c r="B62" i="11"/>
  <c r="B63" i="11"/>
  <c r="B64" i="11"/>
  <c r="B65" i="11"/>
  <c r="B66" i="11"/>
  <c r="B67" i="11"/>
  <c r="B68" i="11"/>
  <c r="B69" i="11"/>
  <c r="B60" i="3"/>
  <c r="B61" i="3"/>
  <c r="B62" i="3"/>
  <c r="B63" i="3"/>
  <c r="B64" i="3"/>
  <c r="B65" i="3"/>
  <c r="B66" i="3"/>
  <c r="B67" i="3"/>
  <c r="B68" i="3"/>
  <c r="B69" i="3"/>
  <c r="A64" i="4"/>
  <c r="A65" i="4"/>
  <c r="A66" i="4"/>
  <c r="A67" i="4"/>
  <c r="A68" i="4"/>
  <c r="A69" i="4"/>
  <c r="A64" i="7"/>
  <c r="A65" i="7"/>
  <c r="A66" i="7"/>
  <c r="A67" i="7"/>
  <c r="A68" i="7"/>
  <c r="A69" i="7"/>
  <c r="A64" i="8"/>
  <c r="A65" i="8"/>
  <c r="A66" i="8"/>
  <c r="A67" i="8"/>
  <c r="A68" i="8"/>
  <c r="A69" i="8"/>
  <c r="A64" i="9"/>
  <c r="A65" i="9"/>
  <c r="A66" i="9"/>
  <c r="A67" i="9"/>
  <c r="A68" i="9"/>
  <c r="A69" i="9"/>
  <c r="A64" i="10"/>
  <c r="A65" i="10"/>
  <c r="A66" i="10"/>
  <c r="A67" i="10"/>
  <c r="A68" i="10"/>
  <c r="A69" i="10"/>
  <c r="A64" i="11"/>
  <c r="A65" i="11"/>
  <c r="A66" i="11"/>
  <c r="A67" i="11"/>
  <c r="A68" i="11"/>
  <c r="A69" i="11"/>
  <c r="A64" i="3"/>
  <c r="A65" i="3"/>
  <c r="A66" i="3"/>
  <c r="A67" i="3"/>
  <c r="A68" i="3"/>
  <c r="A69" i="3"/>
  <c r="A61" i="4"/>
  <c r="A62" i="4"/>
  <c r="A63" i="4"/>
  <c r="A61" i="7"/>
  <c r="A62" i="7"/>
  <c r="A63" i="7"/>
  <c r="A61" i="8"/>
  <c r="A62" i="8"/>
  <c r="A63" i="8"/>
  <c r="A61" i="9"/>
  <c r="A62" i="9"/>
  <c r="A63" i="9"/>
  <c r="A61" i="10"/>
  <c r="A62" i="10"/>
  <c r="A63" i="10"/>
  <c r="A61" i="11"/>
  <c r="A62" i="11"/>
  <c r="A63" i="11"/>
  <c r="A61" i="3"/>
  <c r="A62" i="3"/>
  <c r="A63" i="3"/>
  <c r="A70" i="3"/>
  <c r="A70" i="11"/>
  <c r="A70" i="10"/>
  <c r="A70" i="9"/>
  <c r="A70" i="8"/>
  <c r="A70" i="7"/>
  <c r="A70" i="4"/>
  <c r="Q63" i="2"/>
  <c r="Q64" i="2"/>
  <c r="Q65" i="2"/>
  <c r="Q66" i="2"/>
  <c r="Q67" i="2"/>
  <c r="Q68" i="2"/>
  <c r="G63" i="2"/>
  <c r="E63" i="2" s="1"/>
  <c r="D64" i="8" s="1"/>
  <c r="G64" i="2"/>
  <c r="E64" i="2" s="1"/>
  <c r="D65" i="10" s="1"/>
  <c r="G65" i="10" s="1"/>
  <c r="G65" i="2"/>
  <c r="G66" i="2"/>
  <c r="G67" i="2"/>
  <c r="E67" i="2" s="1"/>
  <c r="G68" i="2"/>
  <c r="E68" i="2" s="1"/>
  <c r="G60" i="2"/>
  <c r="G61" i="2"/>
  <c r="Q58" i="2"/>
  <c r="Q59" i="2"/>
  <c r="Q60" i="2"/>
  <c r="Q61" i="2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F60" i="10" s="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F60" i="11" s="1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14" i="4"/>
  <c r="C14" i="7"/>
  <c r="C14" i="8"/>
  <c r="C14" i="9"/>
  <c r="C14" i="10"/>
  <c r="C14" i="11"/>
  <c r="C14" i="3"/>
  <c r="G18" i="2"/>
  <c r="E18" i="2" s="1"/>
  <c r="G13" i="2"/>
  <c r="E13" i="2" s="1"/>
  <c r="K70" i="2"/>
  <c r="D71" i="7" s="1"/>
  <c r="E71" i="7" s="1"/>
  <c r="J70" i="2"/>
  <c r="L70" i="2"/>
  <c r="D71" i="8" s="1"/>
  <c r="E71" i="8" s="1"/>
  <c r="M70" i="2"/>
  <c r="D71" i="9" s="1"/>
  <c r="E71" i="9" s="1"/>
  <c r="G71" i="9" s="1"/>
  <c r="N70" i="2"/>
  <c r="D71" i="10" s="1"/>
  <c r="E71" i="10" s="1"/>
  <c r="O70" i="2"/>
  <c r="D71" i="11" s="1"/>
  <c r="E71" i="11" s="1"/>
  <c r="I70" i="2"/>
  <c r="D71" i="3" s="1"/>
  <c r="E71" i="3" s="1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71" i="3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71" i="11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71" i="10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71" i="9"/>
  <c r="B15" i="8"/>
  <c r="B16" i="8"/>
  <c r="B17" i="8"/>
  <c r="B18" i="8"/>
  <c r="B19" i="8"/>
  <c r="B22" i="8"/>
  <c r="B23" i="8"/>
  <c r="B27" i="8"/>
  <c r="B28" i="8"/>
  <c r="B29" i="8"/>
  <c r="B30" i="8"/>
  <c r="B31" i="8"/>
  <c r="B32" i="8"/>
  <c r="B33" i="8"/>
  <c r="B34" i="8"/>
  <c r="B35" i="8"/>
  <c r="B36" i="8"/>
  <c r="B37" i="8"/>
  <c r="B38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71" i="8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71" i="7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71" i="4"/>
  <c r="B14" i="7"/>
  <c r="B14" i="8"/>
  <c r="B14" i="9"/>
  <c r="B14" i="10"/>
  <c r="B14" i="11"/>
  <c r="B14" i="4"/>
  <c r="B14" i="3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62" i="2"/>
  <c r="Q69" i="2"/>
  <c r="Q13" i="2"/>
  <c r="F70" i="4" l="1"/>
  <c r="F68" i="8"/>
  <c r="F69" i="7"/>
  <c r="F68" i="7"/>
  <c r="E65" i="2"/>
  <c r="D66" i="9" s="1"/>
  <c r="G66" i="9" s="1"/>
  <c r="E66" i="2"/>
  <c r="D67" i="9" s="1"/>
  <c r="G67" i="9" s="1"/>
  <c r="F70" i="3"/>
  <c r="E61" i="2"/>
  <c r="D62" i="8" s="1"/>
  <c r="G62" i="8" s="1"/>
  <c r="E60" i="2"/>
  <c r="D61" i="8" s="1"/>
  <c r="G61" i="8" s="1"/>
  <c r="F66" i="11"/>
  <c r="F68" i="10"/>
  <c r="F70" i="9"/>
  <c r="F70" i="7"/>
  <c r="D68" i="8"/>
  <c r="G68" i="8" s="1"/>
  <c r="R67" i="2"/>
  <c r="F66" i="10"/>
  <c r="F69" i="9"/>
  <c r="F63" i="11"/>
  <c r="F65" i="10"/>
  <c r="F68" i="4"/>
  <c r="F62" i="11"/>
  <c r="F65" i="7"/>
  <c r="F70" i="8"/>
  <c r="F67" i="9"/>
  <c r="F62" i="3"/>
  <c r="F64" i="10"/>
  <c r="F69" i="11"/>
  <c r="F61" i="11"/>
  <c r="F59" i="3"/>
  <c r="F68" i="3"/>
  <c r="F70" i="10"/>
  <c r="F68" i="11"/>
  <c r="F67" i="11"/>
  <c r="D64" i="11"/>
  <c r="G64" i="11" s="1"/>
  <c r="D64" i="7"/>
  <c r="G64" i="7" s="1"/>
  <c r="F62" i="8"/>
  <c r="F66" i="7"/>
  <c r="F67" i="4"/>
  <c r="D64" i="3"/>
  <c r="G64" i="3" s="1"/>
  <c r="F64" i="3"/>
  <c r="D64" i="10"/>
  <c r="G64" i="10" s="1"/>
  <c r="D64" i="9"/>
  <c r="G64" i="9" s="1"/>
  <c r="G64" i="8"/>
  <c r="D64" i="4"/>
  <c r="G64" i="4" s="1"/>
  <c r="F63" i="8"/>
  <c r="F67" i="7"/>
  <c r="F65" i="9"/>
  <c r="F65" i="8"/>
  <c r="F67" i="8"/>
  <c r="F65" i="4"/>
  <c r="F63" i="4"/>
  <c r="F63" i="9"/>
  <c r="F62" i="4"/>
  <c r="F67" i="3"/>
  <c r="F63" i="7"/>
  <c r="D65" i="3"/>
  <c r="G65" i="3" s="1"/>
  <c r="F65" i="3"/>
  <c r="D65" i="9"/>
  <c r="G65" i="9" s="1"/>
  <c r="F61" i="8"/>
  <c r="F60" i="8"/>
  <c r="F60" i="4"/>
  <c r="F60" i="3"/>
  <c r="F63" i="3"/>
  <c r="F61" i="4"/>
  <c r="F61" i="9"/>
  <c r="F62" i="7"/>
  <c r="F60" i="9"/>
  <c r="F61" i="7"/>
  <c r="F62" i="9"/>
  <c r="F60" i="7"/>
  <c r="F61" i="3"/>
  <c r="D69" i="8"/>
  <c r="G69" i="8" s="1"/>
  <c r="D69" i="11"/>
  <c r="G69" i="11" s="1"/>
  <c r="D69" i="7"/>
  <c r="G69" i="7" s="1"/>
  <c r="F69" i="3"/>
  <c r="F68" i="9"/>
  <c r="F69" i="4"/>
  <c r="F69" i="8"/>
  <c r="F70" i="11"/>
  <c r="F66" i="3"/>
  <c r="D68" i="11"/>
  <c r="G68" i="11" s="1"/>
  <c r="D68" i="7"/>
  <c r="G68" i="7" s="1"/>
  <c r="F66" i="8"/>
  <c r="D65" i="4"/>
  <c r="G65" i="4" s="1"/>
  <c r="D69" i="10"/>
  <c r="G69" i="10" s="1"/>
  <c r="D65" i="8"/>
  <c r="G65" i="8" s="1"/>
  <c r="D68" i="10"/>
  <c r="G68" i="10" s="1"/>
  <c r="D69" i="3"/>
  <c r="G69" i="3" s="1"/>
  <c r="D65" i="11"/>
  <c r="G65" i="11" s="1"/>
  <c r="D69" i="9"/>
  <c r="G69" i="9" s="1"/>
  <c r="D65" i="7"/>
  <c r="G65" i="7" s="1"/>
  <c r="D68" i="3"/>
  <c r="G68" i="3" s="1"/>
  <c r="D68" i="9"/>
  <c r="G68" i="9" s="1"/>
  <c r="D69" i="4"/>
  <c r="G69" i="4" s="1"/>
  <c r="F66" i="9"/>
  <c r="F66" i="4"/>
  <c r="F64" i="4"/>
  <c r="F64" i="9"/>
  <c r="F64" i="8"/>
  <c r="F64" i="7"/>
  <c r="R64" i="2"/>
  <c r="R63" i="2"/>
  <c r="R68" i="2"/>
  <c r="D71" i="4"/>
  <c r="E71" i="4" s="1"/>
  <c r="G71" i="4" s="1"/>
  <c r="R18" i="2"/>
  <c r="Q70" i="2"/>
  <c r="R70" i="2" s="1"/>
  <c r="A21" i="3"/>
  <c r="A22" i="3"/>
  <c r="A23" i="3"/>
  <c r="A24" i="3"/>
  <c r="A25" i="3"/>
  <c r="A26" i="3"/>
  <c r="A27" i="3"/>
  <c r="A28" i="3"/>
  <c r="A29" i="3"/>
  <c r="A30" i="3"/>
  <c r="E26" i="11"/>
  <c r="F26" i="11" s="1"/>
  <c r="E27" i="11"/>
  <c r="F27" i="11" s="1"/>
  <c r="E28" i="11"/>
  <c r="F28" i="11" s="1"/>
  <c r="E29" i="11"/>
  <c r="F29" i="11" s="1"/>
  <c r="E30" i="11"/>
  <c r="F30" i="11" s="1"/>
  <c r="E31" i="11"/>
  <c r="F31" i="11" s="1"/>
  <c r="E32" i="11"/>
  <c r="F32" i="11" s="1"/>
  <c r="E33" i="11"/>
  <c r="F33" i="11" s="1"/>
  <c r="E34" i="11"/>
  <c r="F34" i="11" s="1"/>
  <c r="E35" i="11"/>
  <c r="F35" i="11" s="1"/>
  <c r="E36" i="11"/>
  <c r="F36" i="11" s="1"/>
  <c r="E37" i="11"/>
  <c r="F37" i="11" s="1"/>
  <c r="E38" i="11"/>
  <c r="F38" i="11" s="1"/>
  <c r="E39" i="11"/>
  <c r="F39" i="11" s="1"/>
  <c r="E40" i="11"/>
  <c r="F40" i="11" s="1"/>
  <c r="E41" i="11"/>
  <c r="F41" i="11" s="1"/>
  <c r="E42" i="11"/>
  <c r="F42" i="11" s="1"/>
  <c r="E43" i="11"/>
  <c r="F43" i="11" s="1"/>
  <c r="E44" i="11"/>
  <c r="F44" i="11" s="1"/>
  <c r="E45" i="11"/>
  <c r="F45" i="11" s="1"/>
  <c r="E46" i="11"/>
  <c r="F46" i="11" s="1"/>
  <c r="E47" i="11"/>
  <c r="F47" i="11" s="1"/>
  <c r="E48" i="11"/>
  <c r="F48" i="11" s="1"/>
  <c r="E49" i="11"/>
  <c r="F49" i="11" s="1"/>
  <c r="E50" i="11"/>
  <c r="F50" i="11" s="1"/>
  <c r="E51" i="11"/>
  <c r="F51" i="11" s="1"/>
  <c r="E52" i="11"/>
  <c r="F52" i="11" s="1"/>
  <c r="E53" i="11"/>
  <c r="F53" i="11" s="1"/>
  <c r="E54" i="11"/>
  <c r="F54" i="11" s="1"/>
  <c r="E55" i="11"/>
  <c r="F55" i="11" s="1"/>
  <c r="E56" i="11"/>
  <c r="F56" i="11" s="1"/>
  <c r="E57" i="11"/>
  <c r="F57" i="11" s="1"/>
  <c r="E58" i="11"/>
  <c r="F58" i="11" s="1"/>
  <c r="E59" i="11"/>
  <c r="F59" i="11" s="1"/>
  <c r="E22" i="11"/>
  <c r="F22" i="11" s="1"/>
  <c r="E23" i="11"/>
  <c r="F23" i="11" s="1"/>
  <c r="E24" i="11"/>
  <c r="F24" i="11" s="1"/>
  <c r="E25" i="11"/>
  <c r="F25" i="11" s="1"/>
  <c r="E15" i="11"/>
  <c r="F15" i="11" s="1"/>
  <c r="E16" i="11"/>
  <c r="F16" i="11" s="1"/>
  <c r="E17" i="11"/>
  <c r="F17" i="11" s="1"/>
  <c r="E18" i="11"/>
  <c r="F18" i="11" s="1"/>
  <c r="E19" i="11"/>
  <c r="F19" i="11" s="1"/>
  <c r="E20" i="11"/>
  <c r="F20" i="11" s="1"/>
  <c r="E21" i="11"/>
  <c r="F21" i="11" s="1"/>
  <c r="E14" i="11"/>
  <c r="A7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D19" i="11"/>
  <c r="A19" i="11"/>
  <c r="A18" i="11"/>
  <c r="A17" i="11"/>
  <c r="A16" i="11"/>
  <c r="A15" i="11"/>
  <c r="A14" i="11"/>
  <c r="C2" i="1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3" i="10"/>
  <c r="F23" i="10" s="1"/>
  <c r="E24" i="10"/>
  <c r="F24" i="10" s="1"/>
  <c r="E25" i="10"/>
  <c r="F25" i="10" s="1"/>
  <c r="E26" i="10"/>
  <c r="F26" i="10" s="1"/>
  <c r="E27" i="10"/>
  <c r="F27" i="10" s="1"/>
  <c r="E28" i="10"/>
  <c r="F28" i="10" s="1"/>
  <c r="E29" i="10"/>
  <c r="F29" i="10" s="1"/>
  <c r="E30" i="10"/>
  <c r="F30" i="10" s="1"/>
  <c r="E31" i="10"/>
  <c r="F31" i="10" s="1"/>
  <c r="E32" i="10"/>
  <c r="F32" i="10" s="1"/>
  <c r="E33" i="10"/>
  <c r="F33" i="10" s="1"/>
  <c r="E34" i="10"/>
  <c r="F34" i="10" s="1"/>
  <c r="E35" i="10"/>
  <c r="F35" i="10" s="1"/>
  <c r="E36" i="10"/>
  <c r="F36" i="10" s="1"/>
  <c r="E37" i="10"/>
  <c r="F37" i="10" s="1"/>
  <c r="E38" i="10"/>
  <c r="F38" i="10" s="1"/>
  <c r="E39" i="10"/>
  <c r="F39" i="10" s="1"/>
  <c r="E40" i="10"/>
  <c r="F40" i="10" s="1"/>
  <c r="E41" i="10"/>
  <c r="F41" i="10" s="1"/>
  <c r="E42" i="10"/>
  <c r="F42" i="10" s="1"/>
  <c r="E43" i="10"/>
  <c r="F43" i="10" s="1"/>
  <c r="E44" i="10"/>
  <c r="F44" i="10" s="1"/>
  <c r="E45" i="10"/>
  <c r="F45" i="10" s="1"/>
  <c r="E46" i="10"/>
  <c r="F46" i="10" s="1"/>
  <c r="E47" i="10"/>
  <c r="F47" i="10" s="1"/>
  <c r="E48" i="10"/>
  <c r="F48" i="10" s="1"/>
  <c r="E49" i="10"/>
  <c r="F49" i="10" s="1"/>
  <c r="E50" i="10"/>
  <c r="F50" i="10" s="1"/>
  <c r="E51" i="10"/>
  <c r="F51" i="10" s="1"/>
  <c r="E52" i="10"/>
  <c r="F52" i="10" s="1"/>
  <c r="E53" i="10"/>
  <c r="F53" i="10" s="1"/>
  <c r="E54" i="10"/>
  <c r="F54" i="10" s="1"/>
  <c r="E55" i="10"/>
  <c r="F55" i="10" s="1"/>
  <c r="E56" i="10"/>
  <c r="F56" i="10" s="1"/>
  <c r="E57" i="10"/>
  <c r="F57" i="10" s="1"/>
  <c r="E58" i="10"/>
  <c r="F58" i="10" s="1"/>
  <c r="E59" i="10"/>
  <c r="F59" i="10" s="1"/>
  <c r="E14" i="10"/>
  <c r="D19" i="10"/>
  <c r="A7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C2" i="10"/>
  <c r="E15" i="9"/>
  <c r="F15" i="9" s="1"/>
  <c r="E16" i="9"/>
  <c r="F16" i="9" s="1"/>
  <c r="E17" i="9"/>
  <c r="F17" i="9" s="1"/>
  <c r="E18" i="9"/>
  <c r="F18" i="9" s="1"/>
  <c r="E19" i="9"/>
  <c r="F19" i="9" s="1"/>
  <c r="E20" i="9"/>
  <c r="F20" i="9" s="1"/>
  <c r="E21" i="9"/>
  <c r="F21" i="9" s="1"/>
  <c r="E22" i="9"/>
  <c r="F22" i="9" s="1"/>
  <c r="E23" i="9"/>
  <c r="F23" i="9" s="1"/>
  <c r="E24" i="9"/>
  <c r="F24" i="9" s="1"/>
  <c r="E25" i="9"/>
  <c r="F25" i="9" s="1"/>
  <c r="E26" i="9"/>
  <c r="F26" i="9" s="1"/>
  <c r="E27" i="9"/>
  <c r="F27" i="9" s="1"/>
  <c r="E28" i="9"/>
  <c r="F28" i="9" s="1"/>
  <c r="E29" i="9"/>
  <c r="F29" i="9" s="1"/>
  <c r="E30" i="9"/>
  <c r="F30" i="9" s="1"/>
  <c r="E31" i="9"/>
  <c r="F31" i="9" s="1"/>
  <c r="E32" i="9"/>
  <c r="F32" i="9" s="1"/>
  <c r="E33" i="9"/>
  <c r="F33" i="9" s="1"/>
  <c r="E34" i="9"/>
  <c r="F34" i="9" s="1"/>
  <c r="E35" i="9"/>
  <c r="F35" i="9" s="1"/>
  <c r="E36" i="9"/>
  <c r="F36" i="9" s="1"/>
  <c r="E37" i="9"/>
  <c r="F37" i="9" s="1"/>
  <c r="E38" i="9"/>
  <c r="F38" i="9" s="1"/>
  <c r="E39" i="9"/>
  <c r="F39" i="9" s="1"/>
  <c r="E40" i="9"/>
  <c r="F40" i="9" s="1"/>
  <c r="E41" i="9"/>
  <c r="F41" i="9" s="1"/>
  <c r="E42" i="9"/>
  <c r="F42" i="9" s="1"/>
  <c r="E43" i="9"/>
  <c r="F43" i="9" s="1"/>
  <c r="E44" i="9"/>
  <c r="F44" i="9" s="1"/>
  <c r="E45" i="9"/>
  <c r="F45" i="9" s="1"/>
  <c r="E46" i="9"/>
  <c r="F46" i="9" s="1"/>
  <c r="E47" i="9"/>
  <c r="F47" i="9" s="1"/>
  <c r="E48" i="9"/>
  <c r="F48" i="9" s="1"/>
  <c r="E49" i="9"/>
  <c r="F49" i="9" s="1"/>
  <c r="E50" i="9"/>
  <c r="F50" i="9" s="1"/>
  <c r="E51" i="9"/>
  <c r="F51" i="9" s="1"/>
  <c r="E52" i="9"/>
  <c r="F52" i="9" s="1"/>
  <c r="E53" i="9"/>
  <c r="F53" i="9" s="1"/>
  <c r="E54" i="9"/>
  <c r="F54" i="9" s="1"/>
  <c r="E55" i="9"/>
  <c r="F55" i="9" s="1"/>
  <c r="E56" i="9"/>
  <c r="F56" i="9" s="1"/>
  <c r="E57" i="9"/>
  <c r="F57" i="9" s="1"/>
  <c r="E58" i="9"/>
  <c r="F58" i="9" s="1"/>
  <c r="E59" i="9"/>
  <c r="F59" i="9" s="1"/>
  <c r="E14" i="9"/>
  <c r="E15" i="8"/>
  <c r="F15" i="8" s="1"/>
  <c r="E16" i="8"/>
  <c r="F16" i="8" s="1"/>
  <c r="E17" i="8"/>
  <c r="F17" i="8" s="1"/>
  <c r="E18" i="8"/>
  <c r="F18" i="8" s="1"/>
  <c r="E19" i="8"/>
  <c r="F19" i="8" s="1"/>
  <c r="E20" i="8"/>
  <c r="F20" i="8" s="1"/>
  <c r="E21" i="8"/>
  <c r="F21" i="8" s="1"/>
  <c r="E22" i="8"/>
  <c r="F22" i="8" s="1"/>
  <c r="E23" i="8"/>
  <c r="F23" i="8" s="1"/>
  <c r="E24" i="8"/>
  <c r="F24" i="8" s="1"/>
  <c r="E25" i="8"/>
  <c r="F25" i="8" s="1"/>
  <c r="E26" i="8"/>
  <c r="F26" i="8" s="1"/>
  <c r="E27" i="8"/>
  <c r="F27" i="8" s="1"/>
  <c r="E28" i="8"/>
  <c r="F28" i="8" s="1"/>
  <c r="E29" i="8"/>
  <c r="F29" i="8" s="1"/>
  <c r="E30" i="8"/>
  <c r="F30" i="8" s="1"/>
  <c r="E31" i="8"/>
  <c r="F31" i="8" s="1"/>
  <c r="E32" i="8"/>
  <c r="F32" i="8" s="1"/>
  <c r="E33" i="8"/>
  <c r="F33" i="8" s="1"/>
  <c r="E34" i="8"/>
  <c r="F34" i="8" s="1"/>
  <c r="E35" i="8"/>
  <c r="F35" i="8" s="1"/>
  <c r="E36" i="8"/>
  <c r="F36" i="8" s="1"/>
  <c r="E37" i="8"/>
  <c r="F37" i="8" s="1"/>
  <c r="E38" i="8"/>
  <c r="F38" i="8" s="1"/>
  <c r="E39" i="8"/>
  <c r="F39" i="8" s="1"/>
  <c r="E40" i="8"/>
  <c r="F40" i="8" s="1"/>
  <c r="E41" i="8"/>
  <c r="F41" i="8" s="1"/>
  <c r="E42" i="8"/>
  <c r="F42" i="8" s="1"/>
  <c r="E43" i="8"/>
  <c r="F43" i="8" s="1"/>
  <c r="E44" i="8"/>
  <c r="F44" i="8" s="1"/>
  <c r="E45" i="8"/>
  <c r="F45" i="8" s="1"/>
  <c r="E46" i="8"/>
  <c r="F46" i="8" s="1"/>
  <c r="E47" i="8"/>
  <c r="F47" i="8" s="1"/>
  <c r="E48" i="8"/>
  <c r="F48" i="8" s="1"/>
  <c r="E49" i="8"/>
  <c r="F49" i="8" s="1"/>
  <c r="E50" i="8"/>
  <c r="F50" i="8" s="1"/>
  <c r="E51" i="8"/>
  <c r="F51" i="8" s="1"/>
  <c r="E52" i="8"/>
  <c r="F52" i="8" s="1"/>
  <c r="E53" i="8"/>
  <c r="F53" i="8" s="1"/>
  <c r="E54" i="8"/>
  <c r="F54" i="8" s="1"/>
  <c r="E55" i="8"/>
  <c r="F55" i="8" s="1"/>
  <c r="E56" i="8"/>
  <c r="F56" i="8" s="1"/>
  <c r="E57" i="8"/>
  <c r="F57" i="8" s="1"/>
  <c r="E58" i="8"/>
  <c r="F58" i="8" s="1"/>
  <c r="E59" i="8"/>
  <c r="F59" i="8" s="1"/>
  <c r="E14" i="8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14" i="7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14" i="4"/>
  <c r="A7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D19" i="9"/>
  <c r="A19" i="9"/>
  <c r="A18" i="9"/>
  <c r="A17" i="9"/>
  <c r="A16" i="9"/>
  <c r="A15" i="9"/>
  <c r="A14" i="9"/>
  <c r="C2" i="9"/>
  <c r="A7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D19" i="8"/>
  <c r="A19" i="8"/>
  <c r="A18" i="8"/>
  <c r="A17" i="8"/>
  <c r="A16" i="8"/>
  <c r="A15" i="8"/>
  <c r="A14" i="8"/>
  <c r="C2" i="8"/>
  <c r="A7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D19" i="7"/>
  <c r="A19" i="7"/>
  <c r="A18" i="7"/>
  <c r="A17" i="7"/>
  <c r="A16" i="7"/>
  <c r="A15" i="7"/>
  <c r="A14" i="7"/>
  <c r="C2" i="7"/>
  <c r="A7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D19" i="4"/>
  <c r="A19" i="4"/>
  <c r="A18" i="4"/>
  <c r="A17" i="4"/>
  <c r="A16" i="4"/>
  <c r="A15" i="4"/>
  <c r="A14" i="4"/>
  <c r="C2" i="4"/>
  <c r="E14" i="3"/>
  <c r="E15" i="3"/>
  <c r="F15" i="3" s="1"/>
  <c r="E16" i="3"/>
  <c r="F16" i="3" s="1"/>
  <c r="E17" i="3"/>
  <c r="F17" i="3" s="1"/>
  <c r="E18" i="3"/>
  <c r="F18" i="3" s="1"/>
  <c r="E19" i="3"/>
  <c r="F19" i="3" s="1"/>
  <c r="C2" i="3"/>
  <c r="H70" i="2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A52" i="3"/>
  <c r="A53" i="3"/>
  <c r="A54" i="3"/>
  <c r="A55" i="3"/>
  <c r="A56" i="3"/>
  <c r="A57" i="3"/>
  <c r="A58" i="3"/>
  <c r="A59" i="3"/>
  <c r="A60" i="3"/>
  <c r="A71" i="3"/>
  <c r="D19" i="3"/>
  <c r="A15" i="3"/>
  <c r="A16" i="3"/>
  <c r="A17" i="3"/>
  <c r="A18" i="3"/>
  <c r="A19" i="3"/>
  <c r="A2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14" i="3"/>
  <c r="R60" i="2" l="1"/>
  <c r="D66" i="8"/>
  <c r="G66" i="8" s="1"/>
  <c r="R65" i="2"/>
  <c r="D66" i="7"/>
  <c r="G66" i="7" s="1"/>
  <c r="D62" i="7"/>
  <c r="G62" i="7" s="1"/>
  <c r="D62" i="10"/>
  <c r="G62" i="10" s="1"/>
  <c r="D66" i="10"/>
  <c r="G66" i="10" s="1"/>
  <c r="D66" i="11"/>
  <c r="G66" i="11" s="1"/>
  <c r="D66" i="4"/>
  <c r="G66" i="4" s="1"/>
  <c r="D66" i="3"/>
  <c r="G66" i="3" s="1"/>
  <c r="D62" i="3"/>
  <c r="G62" i="3" s="1"/>
  <c r="D62" i="9"/>
  <c r="G62" i="9" s="1"/>
  <c r="D62" i="4"/>
  <c r="G62" i="4" s="1"/>
  <c r="D67" i="7"/>
  <c r="G67" i="7" s="1"/>
  <c r="D67" i="10"/>
  <c r="G67" i="10" s="1"/>
  <c r="R66" i="2"/>
  <c r="D67" i="11"/>
  <c r="G67" i="11" s="1"/>
  <c r="D67" i="3"/>
  <c r="G67" i="3" s="1"/>
  <c r="D67" i="8"/>
  <c r="G67" i="8" s="1"/>
  <c r="D67" i="4"/>
  <c r="G67" i="4" s="1"/>
  <c r="R61" i="2"/>
  <c r="D62" i="11"/>
  <c r="G62" i="11" s="1"/>
  <c r="D61" i="4"/>
  <c r="G61" i="4" s="1"/>
  <c r="D61" i="9"/>
  <c r="G61" i="9" s="1"/>
  <c r="D61" i="11"/>
  <c r="G61" i="11" s="1"/>
  <c r="D61" i="7"/>
  <c r="G61" i="7" s="1"/>
  <c r="D61" i="3"/>
  <c r="D61" i="10"/>
  <c r="G61" i="10" s="1"/>
  <c r="D68" i="4"/>
  <c r="G68" i="4" s="1"/>
  <c r="F14" i="11"/>
  <c r="F72" i="11" s="1"/>
  <c r="F14" i="3"/>
  <c r="F72" i="3" s="1"/>
  <c r="F14" i="10"/>
  <c r="F72" i="10" s="1"/>
  <c r="F14" i="7"/>
  <c r="F72" i="7" s="1"/>
  <c r="F14" i="8"/>
  <c r="F72" i="8" s="1"/>
  <c r="F14" i="9"/>
  <c r="F72" i="9" s="1"/>
  <c r="F14" i="4"/>
  <c r="F72" i="4" s="1"/>
  <c r="G71" i="10"/>
  <c r="G73" i="10" s="1"/>
  <c r="G73" i="4"/>
  <c r="G19" i="11"/>
  <c r="G19" i="8"/>
  <c r="G71" i="7"/>
  <c r="G73" i="7" s="1"/>
  <c r="G71" i="11"/>
  <c r="G73" i="11" s="1"/>
  <c r="G19" i="10"/>
  <c r="G19" i="4"/>
  <c r="G19" i="7"/>
  <c r="G71" i="8"/>
  <c r="G73" i="8" s="1"/>
  <c r="G73" i="9"/>
  <c r="G19" i="9"/>
  <c r="G19" i="3"/>
  <c r="G71" i="3"/>
  <c r="G73" i="3" s="1"/>
  <c r="D14" i="9"/>
  <c r="G14" i="9" s="1"/>
  <c r="D14" i="4"/>
  <c r="G14" i="4" s="1"/>
  <c r="D14" i="10"/>
  <c r="G14" i="10" s="1"/>
  <c r="D14" i="11"/>
  <c r="G14" i="11" s="1"/>
  <c r="D14" i="8"/>
  <c r="G14" i="8" s="1"/>
  <c r="D14" i="7"/>
  <c r="G14" i="7" s="1"/>
  <c r="R13" i="2"/>
  <c r="D14" i="3"/>
  <c r="G14" i="3" s="1"/>
  <c r="G14" i="2"/>
  <c r="E14" i="2" s="1"/>
  <c r="D15" i="8" s="1"/>
  <c r="G15" i="8" s="1"/>
  <c r="R14" i="2" l="1"/>
  <c r="D15" i="3"/>
  <c r="G15" i="3" s="1"/>
  <c r="D15" i="9"/>
  <c r="G15" i="9" s="1"/>
  <c r="D15" i="10"/>
  <c r="G15" i="10" s="1"/>
  <c r="D15" i="11"/>
  <c r="G15" i="11" s="1"/>
  <c r="D15" i="7"/>
  <c r="G15" i="7" s="1"/>
  <c r="D15" i="4"/>
  <c r="G15" i="4" s="1"/>
  <c r="G23" i="2"/>
  <c r="E23" i="2" s="1"/>
  <c r="G17" i="2"/>
  <c r="E17" i="2" s="1"/>
  <c r="D18" i="11" s="1"/>
  <c r="G18" i="11" s="1"/>
  <c r="G25" i="2"/>
  <c r="E25" i="2" s="1"/>
  <c r="D26" i="10" s="1"/>
  <c r="G26" i="10" s="1"/>
  <c r="G16" i="2"/>
  <c r="E16" i="2" s="1"/>
  <c r="D17" i="3" s="1"/>
  <c r="G17" i="3" s="1"/>
  <c r="G22" i="2"/>
  <c r="E22" i="2" s="1"/>
  <c r="D23" i="11" s="1"/>
  <c r="G23" i="11" s="1"/>
  <c r="G24" i="2"/>
  <c r="E24" i="2" s="1"/>
  <c r="D25" i="4" s="1"/>
  <c r="G25" i="4" s="1"/>
  <c r="G19" i="2"/>
  <c r="E19" i="2" s="1"/>
  <c r="G20" i="2"/>
  <c r="E20" i="2" s="1"/>
  <c r="D21" i="7" s="1"/>
  <c r="G21" i="7" s="1"/>
  <c r="G21" i="2"/>
  <c r="E21" i="2"/>
  <c r="D22" i="4" s="1"/>
  <c r="G22" i="4" s="1"/>
  <c r="G15" i="2"/>
  <c r="E15" i="2" s="1"/>
  <c r="D22" i="7" l="1"/>
  <c r="G22" i="7" s="1"/>
  <c r="R21" i="2"/>
  <c r="D22" i="9"/>
  <c r="G22" i="9" s="1"/>
  <c r="D21" i="11"/>
  <c r="G21" i="11" s="1"/>
  <c r="D25" i="10"/>
  <c r="G25" i="10" s="1"/>
  <c r="D16" i="10"/>
  <c r="G16" i="10" s="1"/>
  <c r="D16" i="11"/>
  <c r="G16" i="11" s="1"/>
  <c r="D16" i="7"/>
  <c r="G16" i="7" s="1"/>
  <c r="D16" i="9"/>
  <c r="G16" i="9" s="1"/>
  <c r="D24" i="9"/>
  <c r="G24" i="9" s="1"/>
  <c r="D24" i="10"/>
  <c r="G24" i="10" s="1"/>
  <c r="D24" i="4"/>
  <c r="G24" i="4" s="1"/>
  <c r="R23" i="2"/>
  <c r="D24" i="8"/>
  <c r="G24" i="8" s="1"/>
  <c r="D24" i="3"/>
  <c r="G24" i="3" s="1"/>
  <c r="D24" i="11"/>
  <c r="G24" i="11" s="1"/>
  <c r="D24" i="7"/>
  <c r="G24" i="7" s="1"/>
  <c r="R19" i="2"/>
  <c r="D20" i="11"/>
  <c r="G20" i="11" s="1"/>
  <c r="D20" i="8"/>
  <c r="G20" i="8" s="1"/>
  <c r="D20" i="10"/>
  <c r="G20" i="10" s="1"/>
  <c r="D20" i="3"/>
  <c r="G20" i="3" s="1"/>
  <c r="D20" i="9"/>
  <c r="G20" i="9" s="1"/>
  <c r="D20" i="4"/>
  <c r="G20" i="4" s="1"/>
  <c r="D20" i="7"/>
  <c r="G20" i="7" s="1"/>
  <c r="D25" i="3"/>
  <c r="G25" i="3" s="1"/>
  <c r="D25" i="11"/>
  <c r="G25" i="11" s="1"/>
  <c r="R24" i="2"/>
  <c r="D25" i="8"/>
  <c r="G25" i="8" s="1"/>
  <c r="D25" i="7"/>
  <c r="G25" i="7" s="1"/>
  <c r="D17" i="10"/>
  <c r="G17" i="10" s="1"/>
  <c r="D18" i="8"/>
  <c r="G18" i="8" s="1"/>
  <c r="D18" i="10"/>
  <c r="G18" i="10" s="1"/>
  <c r="D18" i="7"/>
  <c r="G18" i="7" s="1"/>
  <c r="D18" i="9"/>
  <c r="G18" i="9" s="1"/>
  <c r="D21" i="9"/>
  <c r="G21" i="9" s="1"/>
  <c r="D21" i="4"/>
  <c r="G21" i="4" s="1"/>
  <c r="R20" i="2"/>
  <c r="D25" i="9"/>
  <c r="G25" i="9" s="1"/>
  <c r="R17" i="2"/>
  <c r="D21" i="10"/>
  <c r="G21" i="10" s="1"/>
  <c r="D18" i="3"/>
  <c r="G18" i="3" s="1"/>
  <c r="D23" i="4"/>
  <c r="G23" i="4" s="1"/>
  <c r="D23" i="8"/>
  <c r="G23" i="8" s="1"/>
  <c r="D23" i="9"/>
  <c r="G23" i="9" s="1"/>
  <c r="D23" i="7"/>
  <c r="G23" i="7" s="1"/>
  <c r="D23" i="3"/>
  <c r="G23" i="3" s="1"/>
  <c r="R22" i="2"/>
  <c r="D23" i="10"/>
  <c r="G23" i="10" s="1"/>
  <c r="D17" i="11"/>
  <c r="G17" i="11" s="1"/>
  <c r="D21" i="8"/>
  <c r="G21" i="8" s="1"/>
  <c r="D26" i="9"/>
  <c r="G26" i="9" s="1"/>
  <c r="R25" i="2"/>
  <c r="D26" i="8"/>
  <c r="G26" i="8" s="1"/>
  <c r="D26" i="4"/>
  <c r="G26" i="4" s="1"/>
  <c r="D26" i="3"/>
  <c r="G26" i="3" s="1"/>
  <c r="D26" i="7"/>
  <c r="G26" i="7" s="1"/>
  <c r="D26" i="11"/>
  <c r="G26" i="11" s="1"/>
  <c r="D22" i="11"/>
  <c r="G22" i="11" s="1"/>
  <c r="D22" i="3"/>
  <c r="G22" i="3" s="1"/>
  <c r="D22" i="10"/>
  <c r="G22" i="10" s="1"/>
  <c r="D22" i="8"/>
  <c r="G22" i="8" s="1"/>
  <c r="D16" i="4"/>
  <c r="G16" i="4" s="1"/>
  <c r="D16" i="3"/>
  <c r="G16" i="3" s="1"/>
  <c r="D16" i="8"/>
  <c r="G16" i="8" s="1"/>
  <c r="R15" i="2"/>
  <c r="D17" i="9"/>
  <c r="G17" i="9" s="1"/>
  <c r="D17" i="7"/>
  <c r="G17" i="7" s="1"/>
  <c r="R16" i="2"/>
  <c r="D17" i="4"/>
  <c r="G17" i="4" s="1"/>
  <c r="D18" i="4"/>
  <c r="G18" i="4" s="1"/>
  <c r="D17" i="8"/>
  <c r="G17" i="8" s="1"/>
  <c r="D21" i="3"/>
  <c r="G21" i="3" s="1"/>
  <c r="G55" i="2"/>
  <c r="E55" i="2" s="1"/>
  <c r="D56" i="4" s="1"/>
  <c r="G56" i="4" s="1"/>
  <c r="G38" i="2"/>
  <c r="E38" i="2" s="1"/>
  <c r="D39" i="4" s="1"/>
  <c r="G39" i="4" s="1"/>
  <c r="G26" i="2"/>
  <c r="E26" i="2" s="1"/>
  <c r="D27" i="9" s="1"/>
  <c r="G27" i="9" s="1"/>
  <c r="G52" i="2"/>
  <c r="E52" i="2" s="1"/>
  <c r="D53" i="4" s="1"/>
  <c r="G53" i="4" s="1"/>
  <c r="G41" i="2"/>
  <c r="E41" i="2" s="1"/>
  <c r="R41" i="2" s="1"/>
  <c r="G27" i="2"/>
  <c r="E27" i="2" s="1"/>
  <c r="D28" i="7" s="1"/>
  <c r="G28" i="7" s="1"/>
  <c r="G28" i="2"/>
  <c r="E28" i="2" s="1"/>
  <c r="G30" i="2"/>
  <c r="E30" i="2" s="1"/>
  <c r="G39" i="2"/>
  <c r="E39" i="2" s="1"/>
  <c r="D40" i="7" s="1"/>
  <c r="G40" i="7" s="1"/>
  <c r="G40" i="2"/>
  <c r="E40" i="2" s="1"/>
  <c r="R40" i="2" s="1"/>
  <c r="G69" i="2"/>
  <c r="E69" i="2" s="1"/>
  <c r="G45" i="2"/>
  <c r="E45" i="2" s="1"/>
  <c r="G29" i="2"/>
  <c r="E29" i="2" s="1"/>
  <c r="D30" i="3" s="1"/>
  <c r="G30" i="3" s="1"/>
  <c r="G47" i="2"/>
  <c r="E47" i="2" s="1"/>
  <c r="G42" i="2"/>
  <c r="E42" i="2" s="1"/>
  <c r="R42" i="2" s="1"/>
  <c r="G35" i="2"/>
  <c r="E35" i="2" s="1"/>
  <c r="G32" i="2"/>
  <c r="E32" i="2" s="1"/>
  <c r="D33" i="10" s="1"/>
  <c r="G33" i="10" s="1"/>
  <c r="G50" i="2"/>
  <c r="E50" i="2" s="1"/>
  <c r="G31" i="2"/>
  <c r="E31" i="2" s="1"/>
  <c r="D32" i="4" s="1"/>
  <c r="G32" i="4" s="1"/>
  <c r="G57" i="2"/>
  <c r="E57" i="2" s="1"/>
  <c r="G56" i="2"/>
  <c r="E56" i="2" s="1"/>
  <c r="D57" i="10" s="1"/>
  <c r="G57" i="10" s="1"/>
  <c r="G58" i="2"/>
  <c r="E58" i="2" s="1"/>
  <c r="G48" i="2"/>
  <c r="E48" i="2" s="1"/>
  <c r="G53" i="2"/>
  <c r="E53" i="2" s="1"/>
  <c r="G46" i="2"/>
  <c r="E46" i="2" s="1"/>
  <c r="G44" i="2"/>
  <c r="E44" i="2" s="1"/>
  <c r="R44" i="2" s="1"/>
  <c r="G43" i="2"/>
  <c r="E43" i="2" s="1"/>
  <c r="D44" i="7" s="1"/>
  <c r="G44" i="7" s="1"/>
  <c r="G49" i="2"/>
  <c r="E49" i="2" s="1"/>
  <c r="R49" i="2" s="1"/>
  <c r="G34" i="2"/>
  <c r="E34" i="2" s="1"/>
  <c r="G51" i="2"/>
  <c r="E51" i="2" s="1"/>
  <c r="R51" i="2" s="1"/>
  <c r="G54" i="2"/>
  <c r="E54" i="2" s="1"/>
  <c r="D55" i="11" s="1"/>
  <c r="G55" i="11" s="1"/>
  <c r="G33" i="2"/>
  <c r="E33" i="2" s="1"/>
  <c r="G59" i="2"/>
  <c r="E59" i="2" s="1"/>
  <c r="G62" i="2"/>
  <c r="E62" i="2" s="1"/>
  <c r="G36" i="2"/>
  <c r="E36" i="2" s="1"/>
  <c r="G37" i="2"/>
  <c r="E37" i="2" s="1"/>
  <c r="D38" i="10" s="1"/>
  <c r="G38" i="10" s="1"/>
  <c r="D63" i="9" l="1"/>
  <c r="G63" i="9" s="1"/>
  <c r="D63" i="3"/>
  <c r="G63" i="3" s="1"/>
  <c r="D63" i="7"/>
  <c r="G63" i="7" s="1"/>
  <c r="D63" i="4"/>
  <c r="G63" i="4" s="1"/>
  <c r="D63" i="10"/>
  <c r="G63" i="10" s="1"/>
  <c r="D63" i="8"/>
  <c r="G63" i="8" s="1"/>
  <c r="D63" i="11"/>
  <c r="G63" i="11" s="1"/>
  <c r="D70" i="7"/>
  <c r="G70" i="7" s="1"/>
  <c r="D70" i="11"/>
  <c r="G70" i="11" s="1"/>
  <c r="D70" i="8"/>
  <c r="G70" i="8" s="1"/>
  <c r="D70" i="4"/>
  <c r="G70" i="4" s="1"/>
  <c r="D70" i="9"/>
  <c r="G70" i="9" s="1"/>
  <c r="D70" i="3"/>
  <c r="G70" i="3" s="1"/>
  <c r="D70" i="10"/>
  <c r="G70" i="10" s="1"/>
  <c r="R37" i="2"/>
  <c r="D59" i="4"/>
  <c r="G59" i="4" s="1"/>
  <c r="R59" i="2"/>
  <c r="R48" i="2"/>
  <c r="D49" i="7"/>
  <c r="G49" i="7" s="1"/>
  <c r="D49" i="10"/>
  <c r="G49" i="10" s="1"/>
  <c r="D49" i="9"/>
  <c r="G49" i="9" s="1"/>
  <c r="D38" i="11"/>
  <c r="G38" i="11" s="1"/>
  <c r="R39" i="2"/>
  <c r="D40" i="8"/>
  <c r="G40" i="8" s="1"/>
  <c r="D52" i="11"/>
  <c r="G52" i="11" s="1"/>
  <c r="D55" i="9"/>
  <c r="G55" i="9" s="1"/>
  <c r="R54" i="2"/>
  <c r="R31" i="2"/>
  <c r="D32" i="10"/>
  <c r="G32" i="10" s="1"/>
  <c r="D43" i="3"/>
  <c r="G43" i="3" s="1"/>
  <c r="D30" i="7"/>
  <c r="G30" i="7" s="1"/>
  <c r="D30" i="8"/>
  <c r="G30" i="8" s="1"/>
  <c r="D27" i="11"/>
  <c r="G27" i="11" s="1"/>
  <c r="R43" i="2"/>
  <c r="D44" i="8"/>
  <c r="G44" i="8" s="1"/>
  <c r="D42" i="3"/>
  <c r="G42" i="3" s="1"/>
  <c r="D42" i="4"/>
  <c r="G42" i="4" s="1"/>
  <c r="D58" i="8"/>
  <c r="G58" i="8" s="1"/>
  <c r="D58" i="11"/>
  <c r="G58" i="11" s="1"/>
  <c r="D58" i="10"/>
  <c r="G58" i="10" s="1"/>
  <c r="D58" i="9"/>
  <c r="G58" i="9" s="1"/>
  <c r="D58" i="3"/>
  <c r="G58" i="3" s="1"/>
  <c r="R57" i="2"/>
  <c r="D58" i="7"/>
  <c r="G58" i="7" s="1"/>
  <c r="D58" i="4"/>
  <c r="G58" i="4" s="1"/>
  <c r="D37" i="3"/>
  <c r="G37" i="3" s="1"/>
  <c r="D37" i="8"/>
  <c r="G37" i="8" s="1"/>
  <c r="D37" i="7"/>
  <c r="G37" i="7" s="1"/>
  <c r="D37" i="11"/>
  <c r="G37" i="11" s="1"/>
  <c r="D37" i="9"/>
  <c r="G37" i="9" s="1"/>
  <c r="D37" i="10"/>
  <c r="G37" i="10" s="1"/>
  <c r="D37" i="4"/>
  <c r="G37" i="4" s="1"/>
  <c r="R36" i="2"/>
  <c r="G61" i="3"/>
  <c r="R62" i="2"/>
  <c r="R46" i="2"/>
  <c r="D47" i="8"/>
  <c r="G47" i="8" s="1"/>
  <c r="D47" i="7"/>
  <c r="G47" i="7" s="1"/>
  <c r="D47" i="10"/>
  <c r="G47" i="10" s="1"/>
  <c r="D47" i="4"/>
  <c r="G47" i="4" s="1"/>
  <c r="D47" i="9"/>
  <c r="G47" i="9" s="1"/>
  <c r="D47" i="11"/>
  <c r="G47" i="11" s="1"/>
  <c r="D47" i="3"/>
  <c r="G47" i="3" s="1"/>
  <c r="D29" i="4"/>
  <c r="G29" i="4" s="1"/>
  <c r="D29" i="3"/>
  <c r="G29" i="3" s="1"/>
  <c r="D29" i="8"/>
  <c r="G29" i="8" s="1"/>
  <c r="D29" i="7"/>
  <c r="G29" i="7" s="1"/>
  <c r="D29" i="11"/>
  <c r="G29" i="11" s="1"/>
  <c r="D29" i="9"/>
  <c r="G29" i="9" s="1"/>
  <c r="R28" i="2"/>
  <c r="D29" i="10"/>
  <c r="G29" i="10" s="1"/>
  <c r="D35" i="7"/>
  <c r="G35" i="7" s="1"/>
  <c r="D35" i="3"/>
  <c r="G35" i="3" s="1"/>
  <c r="D35" i="8"/>
  <c r="G35" i="8" s="1"/>
  <c r="D35" i="9"/>
  <c r="G35" i="9" s="1"/>
  <c r="R34" i="2"/>
  <c r="D35" i="10"/>
  <c r="G35" i="10" s="1"/>
  <c r="D35" i="11"/>
  <c r="G35" i="11" s="1"/>
  <c r="D35" i="4"/>
  <c r="G35" i="4" s="1"/>
  <c r="D54" i="4"/>
  <c r="G54" i="4" s="1"/>
  <c r="D54" i="10"/>
  <c r="G54" i="10" s="1"/>
  <c r="D54" i="8"/>
  <c r="G54" i="8" s="1"/>
  <c r="D54" i="3"/>
  <c r="G54" i="3" s="1"/>
  <c r="R53" i="2"/>
  <c r="D54" i="7"/>
  <c r="G54" i="7" s="1"/>
  <c r="D54" i="9"/>
  <c r="G54" i="9" s="1"/>
  <c r="D54" i="11"/>
  <c r="G54" i="11" s="1"/>
  <c r="R69" i="2"/>
  <c r="D34" i="10"/>
  <c r="G34" i="10" s="1"/>
  <c r="D34" i="11"/>
  <c r="G34" i="11" s="1"/>
  <c r="D34" i="8"/>
  <c r="G34" i="8" s="1"/>
  <c r="D34" i="4"/>
  <c r="G34" i="4" s="1"/>
  <c r="D34" i="7"/>
  <c r="G34" i="7" s="1"/>
  <c r="R33" i="2"/>
  <c r="D34" i="3"/>
  <c r="G34" i="3" s="1"/>
  <c r="D34" i="9"/>
  <c r="G34" i="9" s="1"/>
  <c r="D48" i="4"/>
  <c r="G48" i="4" s="1"/>
  <c r="D48" i="11"/>
  <c r="G48" i="11" s="1"/>
  <c r="D48" i="8"/>
  <c r="G48" i="8" s="1"/>
  <c r="D48" i="9"/>
  <c r="G48" i="9" s="1"/>
  <c r="D48" i="10"/>
  <c r="G48" i="10" s="1"/>
  <c r="D48" i="3"/>
  <c r="G48" i="3" s="1"/>
  <c r="D48" i="7"/>
  <c r="G48" i="7" s="1"/>
  <c r="R47" i="2"/>
  <c r="D51" i="9"/>
  <c r="G51" i="9" s="1"/>
  <c r="D51" i="3"/>
  <c r="G51" i="3" s="1"/>
  <c r="R50" i="2"/>
  <c r="D51" i="4"/>
  <c r="G51" i="4" s="1"/>
  <c r="D51" i="8"/>
  <c r="G51" i="8" s="1"/>
  <c r="D51" i="10"/>
  <c r="G51" i="10" s="1"/>
  <c r="D36" i="7"/>
  <c r="G36" i="7" s="1"/>
  <c r="D36" i="3"/>
  <c r="G36" i="3" s="1"/>
  <c r="D36" i="10"/>
  <c r="G36" i="10" s="1"/>
  <c r="D36" i="11"/>
  <c r="G36" i="11" s="1"/>
  <c r="D46" i="10"/>
  <c r="G46" i="10" s="1"/>
  <c r="D46" i="8"/>
  <c r="G46" i="8" s="1"/>
  <c r="D46" i="9"/>
  <c r="G46" i="9" s="1"/>
  <c r="D46" i="7"/>
  <c r="G46" i="7" s="1"/>
  <c r="D31" i="3"/>
  <c r="G31" i="3" s="1"/>
  <c r="D31" i="10"/>
  <c r="G31" i="10" s="1"/>
  <c r="D31" i="4"/>
  <c r="G31" i="4" s="1"/>
  <c r="D31" i="7"/>
  <c r="G31" i="7" s="1"/>
  <c r="D31" i="11"/>
  <c r="G31" i="11" s="1"/>
  <c r="D31" i="9"/>
  <c r="G31" i="9" s="1"/>
  <c r="D55" i="7"/>
  <c r="G55" i="7" s="1"/>
  <c r="D55" i="10"/>
  <c r="G55" i="10" s="1"/>
  <c r="D55" i="3"/>
  <c r="G55" i="3" s="1"/>
  <c r="D55" i="4"/>
  <c r="G55" i="4" s="1"/>
  <c r="D45" i="9"/>
  <c r="G45" i="9" s="1"/>
  <c r="D45" i="7"/>
  <c r="G45" i="7" s="1"/>
  <c r="D45" i="8"/>
  <c r="G45" i="8" s="1"/>
  <c r="D45" i="4"/>
  <c r="G45" i="4" s="1"/>
  <c r="D45" i="3"/>
  <c r="G45" i="3" s="1"/>
  <c r="D45" i="11"/>
  <c r="G45" i="11" s="1"/>
  <c r="R35" i="2"/>
  <c r="D36" i="4"/>
  <c r="G36" i="4" s="1"/>
  <c r="D28" i="9"/>
  <c r="G28" i="9" s="1"/>
  <c r="D42" i="11"/>
  <c r="G42" i="11" s="1"/>
  <c r="D31" i="8"/>
  <c r="G31" i="8" s="1"/>
  <c r="D33" i="9"/>
  <c r="G33" i="9" s="1"/>
  <c r="D33" i="7"/>
  <c r="G33" i="7" s="1"/>
  <c r="D33" i="11"/>
  <c r="G33" i="11" s="1"/>
  <c r="R32" i="2"/>
  <c r="D33" i="8"/>
  <c r="G33" i="8" s="1"/>
  <c r="D33" i="3"/>
  <c r="G33" i="3" s="1"/>
  <c r="D36" i="8"/>
  <c r="G36" i="8" s="1"/>
  <c r="D53" i="8"/>
  <c r="G53" i="8" s="1"/>
  <c r="D53" i="7"/>
  <c r="G53" i="7" s="1"/>
  <c r="R52" i="2"/>
  <c r="D53" i="10"/>
  <c r="G53" i="10" s="1"/>
  <c r="D53" i="9"/>
  <c r="G53" i="9" s="1"/>
  <c r="D51" i="11"/>
  <c r="G51" i="11" s="1"/>
  <c r="D50" i="8"/>
  <c r="G50" i="8" s="1"/>
  <c r="D50" i="7"/>
  <c r="G50" i="7" s="1"/>
  <c r="D50" i="11"/>
  <c r="G50" i="11" s="1"/>
  <c r="D50" i="3"/>
  <c r="G50" i="3" s="1"/>
  <c r="D50" i="4"/>
  <c r="G50" i="4" s="1"/>
  <c r="D56" i="7"/>
  <c r="G56" i="7" s="1"/>
  <c r="D56" i="11"/>
  <c r="G56" i="11" s="1"/>
  <c r="D56" i="8"/>
  <c r="G56" i="8" s="1"/>
  <c r="D56" i="3"/>
  <c r="G56" i="3" s="1"/>
  <c r="D56" i="9"/>
  <c r="G56" i="9" s="1"/>
  <c r="R55" i="2"/>
  <c r="D50" i="10"/>
  <c r="G50" i="10" s="1"/>
  <c r="D44" i="4"/>
  <c r="G44" i="4" s="1"/>
  <c r="D44" i="3"/>
  <c r="G44" i="3" s="1"/>
  <c r="D44" i="9"/>
  <c r="G44" i="9" s="1"/>
  <c r="D57" i="7"/>
  <c r="G57" i="7" s="1"/>
  <c r="R56" i="2"/>
  <c r="D57" i="8"/>
  <c r="G57" i="8" s="1"/>
  <c r="D57" i="9"/>
  <c r="G57" i="9" s="1"/>
  <c r="D57" i="4"/>
  <c r="G57" i="4" s="1"/>
  <c r="D57" i="11"/>
  <c r="G57" i="11" s="1"/>
  <c r="D40" i="10"/>
  <c r="G40" i="10" s="1"/>
  <c r="D40" i="11"/>
  <c r="G40" i="11" s="1"/>
  <c r="D40" i="3"/>
  <c r="G40" i="3" s="1"/>
  <c r="D40" i="9"/>
  <c r="G40" i="9" s="1"/>
  <c r="D40" i="4"/>
  <c r="G40" i="4" s="1"/>
  <c r="D46" i="3"/>
  <c r="G46" i="3" s="1"/>
  <c r="D27" i="8"/>
  <c r="G27" i="8" s="1"/>
  <c r="D27" i="4"/>
  <c r="G27" i="4" s="1"/>
  <c r="R26" i="2"/>
  <c r="D27" i="7"/>
  <c r="G27" i="7" s="1"/>
  <c r="D27" i="10"/>
  <c r="G27" i="10" s="1"/>
  <c r="D27" i="3"/>
  <c r="G27" i="3" s="1"/>
  <c r="D46" i="4"/>
  <c r="G46" i="4" s="1"/>
  <c r="D53" i="3"/>
  <c r="G53" i="3" s="1"/>
  <c r="D55" i="8"/>
  <c r="G55" i="8" s="1"/>
  <c r="D44" i="11"/>
  <c r="G44" i="11" s="1"/>
  <c r="D53" i="11"/>
  <c r="G53" i="11" s="1"/>
  <c r="D33" i="4"/>
  <c r="G33" i="4" s="1"/>
  <c r="D28" i="3"/>
  <c r="G28" i="3" s="1"/>
  <c r="D28" i="4"/>
  <c r="G28" i="4" s="1"/>
  <c r="D28" i="10"/>
  <c r="G28" i="10" s="1"/>
  <c r="D28" i="8"/>
  <c r="G28" i="8" s="1"/>
  <c r="D28" i="11"/>
  <c r="G28" i="11" s="1"/>
  <c r="R27" i="2"/>
  <c r="D43" i="11"/>
  <c r="G43" i="11" s="1"/>
  <c r="D43" i="4"/>
  <c r="G43" i="4" s="1"/>
  <c r="D43" i="9"/>
  <c r="G43" i="9" s="1"/>
  <c r="D43" i="8"/>
  <c r="G43" i="8" s="1"/>
  <c r="D43" i="7"/>
  <c r="G43" i="7" s="1"/>
  <c r="D38" i="9"/>
  <c r="G38" i="9" s="1"/>
  <c r="D38" i="4"/>
  <c r="G38" i="4" s="1"/>
  <c r="D38" i="7"/>
  <c r="G38" i="7" s="1"/>
  <c r="D32" i="3"/>
  <c r="G32" i="3" s="1"/>
  <c r="D32" i="8"/>
  <c r="G32" i="8" s="1"/>
  <c r="D32" i="9"/>
  <c r="G32" i="9" s="1"/>
  <c r="D32" i="11"/>
  <c r="G32" i="11" s="1"/>
  <c r="D32" i="7"/>
  <c r="G32" i="7" s="1"/>
  <c r="D30" i="11"/>
  <c r="G30" i="11" s="1"/>
  <c r="D30" i="9"/>
  <c r="G30" i="9" s="1"/>
  <c r="R29" i="2"/>
  <c r="D30" i="4"/>
  <c r="G30" i="4" s="1"/>
  <c r="D49" i="4"/>
  <c r="G49" i="4" s="1"/>
  <c r="D49" i="11"/>
  <c r="G49" i="11" s="1"/>
  <c r="D49" i="3"/>
  <c r="G49" i="3" s="1"/>
  <c r="D57" i="3"/>
  <c r="G57" i="3" s="1"/>
  <c r="D49" i="8"/>
  <c r="G49" i="8" s="1"/>
  <c r="D43" i="10"/>
  <c r="G43" i="10" s="1"/>
  <c r="D59" i="10"/>
  <c r="G59" i="10" s="1"/>
  <c r="D59" i="8"/>
  <c r="G59" i="8" s="1"/>
  <c r="D59" i="3"/>
  <c r="G59" i="3" s="1"/>
  <c r="D59" i="7"/>
  <c r="G59" i="7" s="1"/>
  <c r="D41" i="4"/>
  <c r="G41" i="4" s="1"/>
  <c r="D41" i="11"/>
  <c r="G41" i="11" s="1"/>
  <c r="D41" i="10"/>
  <c r="G41" i="10" s="1"/>
  <c r="D41" i="3"/>
  <c r="G41" i="3" s="1"/>
  <c r="D41" i="8"/>
  <c r="G41" i="8" s="1"/>
  <c r="D41" i="9"/>
  <c r="G41" i="9" s="1"/>
  <c r="R45" i="2"/>
  <c r="D56" i="10"/>
  <c r="G56" i="10" s="1"/>
  <c r="D52" i="9"/>
  <c r="G52" i="9" s="1"/>
  <c r="D52" i="10"/>
  <c r="G52" i="10" s="1"/>
  <c r="D52" i="4"/>
  <c r="G52" i="4" s="1"/>
  <c r="D52" i="3"/>
  <c r="G52" i="3" s="1"/>
  <c r="D52" i="7"/>
  <c r="G52" i="7" s="1"/>
  <c r="D52" i="8"/>
  <c r="G52" i="8" s="1"/>
  <c r="D59" i="9"/>
  <c r="G59" i="9" s="1"/>
  <c r="D51" i="7"/>
  <c r="G51" i="7" s="1"/>
  <c r="D38" i="8"/>
  <c r="G38" i="8" s="1"/>
  <c r="D36" i="9"/>
  <c r="G36" i="9" s="1"/>
  <c r="D46" i="11"/>
  <c r="G46" i="11" s="1"/>
  <c r="R30" i="2"/>
  <c r="D44" i="10"/>
  <c r="G44" i="10" s="1"/>
  <c r="D42" i="7"/>
  <c r="G42" i="7" s="1"/>
  <c r="D42" i="9"/>
  <c r="G42" i="9" s="1"/>
  <c r="D42" i="8"/>
  <c r="G42" i="8" s="1"/>
  <c r="D42" i="10"/>
  <c r="G42" i="10" s="1"/>
  <c r="R38" i="2"/>
  <c r="D39" i="10"/>
  <c r="G39" i="10" s="1"/>
  <c r="D39" i="9"/>
  <c r="G39" i="9" s="1"/>
  <c r="D39" i="7"/>
  <c r="G39" i="7" s="1"/>
  <c r="D39" i="8"/>
  <c r="G39" i="8" s="1"/>
  <c r="D39" i="3"/>
  <c r="G39" i="3" s="1"/>
  <c r="D45" i="10"/>
  <c r="G45" i="10" s="1"/>
  <c r="D30" i="10"/>
  <c r="G30" i="10" s="1"/>
  <c r="D38" i="3"/>
  <c r="G38" i="3" s="1"/>
  <c r="D50" i="9"/>
  <c r="G50" i="9" s="1"/>
  <c r="D39" i="11"/>
  <c r="G39" i="11" s="1"/>
  <c r="D41" i="7"/>
  <c r="G41" i="7" s="1"/>
  <c r="R58" i="2" l="1"/>
  <c r="R71" i="2" s="1"/>
  <c r="D59" i="11"/>
  <c r="G59" i="11" s="1"/>
  <c r="D60" i="7"/>
  <c r="G60" i="7" s="1"/>
  <c r="G72" i="7" s="1"/>
  <c r="C11" i="7" s="1"/>
  <c r="D60" i="10"/>
  <c r="G60" i="10" s="1"/>
  <c r="G72" i="10" s="1"/>
  <c r="C11" i="10" s="1"/>
  <c r="D60" i="3"/>
  <c r="G60" i="3" s="1"/>
  <c r="G72" i="3" s="1"/>
  <c r="C11" i="3" s="1"/>
  <c r="D60" i="9"/>
  <c r="G60" i="9" s="1"/>
  <c r="G72" i="9" s="1"/>
  <c r="C11" i="9" s="1"/>
  <c r="D60" i="11"/>
  <c r="G60" i="11" s="1"/>
  <c r="D60" i="8"/>
  <c r="G60" i="8" s="1"/>
  <c r="G72" i="8" s="1"/>
  <c r="C11" i="8" s="1"/>
  <c r="D60" i="4"/>
  <c r="G60" i="4" s="1"/>
  <c r="G72" i="4" s="1"/>
  <c r="C11" i="4" s="1"/>
  <c r="G72" i="11" l="1"/>
  <c r="C11" i="11" s="1"/>
</calcChain>
</file>

<file path=xl/sharedStrings.xml><?xml version="1.0" encoding="utf-8"?>
<sst xmlns="http://schemas.openxmlformats.org/spreadsheetml/2006/main" count="238" uniqueCount="96">
  <si>
    <t>ファミリーマート</t>
    <phoneticPr fontId="5"/>
  </si>
  <si>
    <t>品名</t>
    <rPh sb="0" eb="2">
      <t>ヒンメイ</t>
    </rPh>
    <phoneticPr fontId="5"/>
  </si>
  <si>
    <t>賞味期限日数目安</t>
    <rPh sb="0" eb="4">
      <t>ショウミキゲン</t>
    </rPh>
    <rPh sb="4" eb="8">
      <t>ニッスウメヤス</t>
    </rPh>
    <phoneticPr fontId="5"/>
  </si>
  <si>
    <t>想定税込売価</t>
    <rPh sb="0" eb="2">
      <t>ソウテイ</t>
    </rPh>
    <rPh sb="2" eb="4">
      <t>ゼイコ</t>
    </rPh>
    <rPh sb="4" eb="6">
      <t>バイカ</t>
    </rPh>
    <phoneticPr fontId="5"/>
  </si>
  <si>
    <t>想定税込仕入額</t>
    <rPh sb="0" eb="2">
      <t>ソウテイ</t>
    </rPh>
    <rPh sb="2" eb="4">
      <t>ゼイコ</t>
    </rPh>
    <rPh sb="4" eb="6">
      <t>シイレ</t>
    </rPh>
    <rPh sb="6" eb="7">
      <t>ガク</t>
    </rPh>
    <phoneticPr fontId="5"/>
  </si>
  <si>
    <t>粗利益率</t>
    <rPh sb="0" eb="4">
      <t>アラリエキリツ</t>
    </rPh>
    <phoneticPr fontId="5"/>
  </si>
  <si>
    <t>バナナ</t>
    <phoneticPr fontId="5"/>
  </si>
  <si>
    <t>人参</t>
    <rPh sb="0" eb="2">
      <t>ニンジン</t>
    </rPh>
    <phoneticPr fontId="5"/>
  </si>
  <si>
    <t>じゃが芋</t>
    <rPh sb="3" eb="4">
      <t>イモ</t>
    </rPh>
    <phoneticPr fontId="5"/>
  </si>
  <si>
    <t>ミニトマト</t>
    <phoneticPr fontId="5"/>
  </si>
  <si>
    <t>ピーマン</t>
    <phoneticPr fontId="5"/>
  </si>
  <si>
    <t>小松菜</t>
    <rPh sb="0" eb="3">
      <t>コマツナ</t>
    </rPh>
    <phoneticPr fontId="5"/>
  </si>
  <si>
    <t>豆苗</t>
    <rPh sb="0" eb="2">
      <t>トウミョウ</t>
    </rPh>
    <phoneticPr fontId="5"/>
  </si>
  <si>
    <t>国産生姜</t>
    <rPh sb="0" eb="2">
      <t>コクサン</t>
    </rPh>
    <rPh sb="2" eb="4">
      <t>ショウガ</t>
    </rPh>
    <phoneticPr fontId="5"/>
  </si>
  <si>
    <t>さつま芋</t>
    <rPh sb="3" eb="4">
      <t>イモ</t>
    </rPh>
    <phoneticPr fontId="5"/>
  </si>
  <si>
    <t>えのき茸</t>
    <rPh sb="3" eb="4">
      <t>タケ</t>
    </rPh>
    <phoneticPr fontId="5"/>
  </si>
  <si>
    <t>しめじ</t>
    <phoneticPr fontId="5"/>
  </si>
  <si>
    <t>しいたけ</t>
    <phoneticPr fontId="5"/>
  </si>
  <si>
    <t>まいたけ</t>
    <phoneticPr fontId="5"/>
  </si>
  <si>
    <t>エリンギ</t>
    <phoneticPr fontId="5"/>
  </si>
  <si>
    <t>なめこ</t>
    <phoneticPr fontId="5"/>
  </si>
  <si>
    <t>大葉しそ</t>
    <rPh sb="0" eb="2">
      <t>オオバ</t>
    </rPh>
    <phoneticPr fontId="5"/>
  </si>
  <si>
    <t>リンゴ</t>
    <phoneticPr fontId="3"/>
  </si>
  <si>
    <t>№</t>
    <phoneticPr fontId="3"/>
  </si>
  <si>
    <t>仙台市太白区秋保湯元字寺田原45-11</t>
    <rPh sb="0" eb="3">
      <t>センダイシ</t>
    </rPh>
    <rPh sb="3" eb="6">
      <t>タイハクク</t>
    </rPh>
    <rPh sb="6" eb="8">
      <t>アキウ</t>
    </rPh>
    <rPh sb="8" eb="10">
      <t>ユモト</t>
    </rPh>
    <rPh sb="10" eb="11">
      <t>ジ</t>
    </rPh>
    <rPh sb="11" eb="14">
      <t>テラダハラ</t>
    </rPh>
    <phoneticPr fontId="3"/>
  </si>
  <si>
    <t>　有 限 会 社　マ　ル　カ</t>
    <rPh sb="1" eb="2">
      <t>ユウ</t>
    </rPh>
    <rPh sb="3" eb="4">
      <t>ゲン</t>
    </rPh>
    <rPh sb="5" eb="6">
      <t>カイ</t>
    </rPh>
    <rPh sb="7" eb="8">
      <t>シャ</t>
    </rPh>
    <phoneticPr fontId="3"/>
  </si>
  <si>
    <t>下記のとおり納品いたしました</t>
    <rPh sb="0" eb="2">
      <t>カキ</t>
    </rPh>
    <rPh sb="6" eb="8">
      <t>ノウヒン</t>
    </rPh>
    <phoneticPr fontId="3"/>
  </si>
  <si>
    <t>TEL　022-398-2408</t>
    <phoneticPr fontId="3"/>
  </si>
  <si>
    <t>FAX　022-397-2817</t>
    <phoneticPr fontId="3"/>
  </si>
  <si>
    <t>川平1丁目店　様</t>
    <rPh sb="0" eb="2">
      <t>カワダイラ</t>
    </rPh>
    <rPh sb="3" eb="5">
      <t>チョウメ</t>
    </rPh>
    <rPh sb="5" eb="6">
      <t>テン</t>
    </rPh>
    <rPh sb="7" eb="8">
      <t>サマ</t>
    </rPh>
    <phoneticPr fontId="3"/>
  </si>
  <si>
    <t>堤町店　様</t>
    <rPh sb="0" eb="2">
      <t>ツツミマチ</t>
    </rPh>
    <rPh sb="2" eb="3">
      <t>テン</t>
    </rPh>
    <rPh sb="4" eb="5">
      <t>サマ</t>
    </rPh>
    <phoneticPr fontId="3"/>
  </si>
  <si>
    <t>広瀬立町店　様</t>
    <rPh sb="0" eb="2">
      <t>ヒロセ</t>
    </rPh>
    <rPh sb="2" eb="4">
      <t>タチマチ</t>
    </rPh>
    <rPh sb="4" eb="5">
      <t>テン</t>
    </rPh>
    <rPh sb="6" eb="7">
      <t>サマ</t>
    </rPh>
    <phoneticPr fontId="3"/>
  </si>
  <si>
    <t>A</t>
    <phoneticPr fontId="3"/>
  </si>
  <si>
    <t>B</t>
    <phoneticPr fontId="3"/>
  </si>
  <si>
    <t>A店　様</t>
    <rPh sb="1" eb="2">
      <t>テン</t>
    </rPh>
    <rPh sb="3" eb="4">
      <t>サマ</t>
    </rPh>
    <phoneticPr fontId="3"/>
  </si>
  <si>
    <t>B店　様</t>
    <rPh sb="1" eb="2">
      <t>テン</t>
    </rPh>
    <rPh sb="3" eb="4">
      <t>サマ</t>
    </rPh>
    <phoneticPr fontId="3"/>
  </si>
  <si>
    <t>品   名</t>
    <rPh sb="0" eb="1">
      <t>ヒン</t>
    </rPh>
    <rPh sb="4" eb="5">
      <t>ナ</t>
    </rPh>
    <phoneticPr fontId="5"/>
  </si>
  <si>
    <t>数 量</t>
    <rPh sb="0" eb="1">
      <t>カズ</t>
    </rPh>
    <rPh sb="2" eb="3">
      <t>リョウ</t>
    </rPh>
    <phoneticPr fontId="3"/>
  </si>
  <si>
    <t>納  品  書</t>
    <rPh sb="0" eb="1">
      <t>ノウ</t>
    </rPh>
    <rPh sb="3" eb="4">
      <t>ヒン</t>
    </rPh>
    <rPh sb="6" eb="7">
      <t>ショ</t>
    </rPh>
    <phoneticPr fontId="3"/>
  </si>
  <si>
    <t>合計(税込み)</t>
    <rPh sb="0" eb="2">
      <t>ゴウケイ</t>
    </rPh>
    <rPh sb="1" eb="2">
      <t>ケイ</t>
    </rPh>
    <rPh sb="3" eb="5">
      <t>ゼイコ</t>
    </rPh>
    <phoneticPr fontId="3"/>
  </si>
  <si>
    <t>数量</t>
    <rPh sb="0" eb="2">
      <t>スウリョウ</t>
    </rPh>
    <phoneticPr fontId="3"/>
  </si>
  <si>
    <t>【集計】</t>
    <rPh sb="1" eb="3">
      <t>シュウケイ</t>
    </rPh>
    <phoneticPr fontId="3"/>
  </si>
  <si>
    <t>金額</t>
    <rPh sb="0" eb="2">
      <t>キンガク</t>
    </rPh>
    <phoneticPr fontId="3"/>
  </si>
  <si>
    <t>送料</t>
    <rPh sb="0" eb="2">
      <t>ソウリョウ</t>
    </rPh>
    <phoneticPr fontId="3"/>
  </si>
  <si>
    <t>8％対象</t>
    <rPh sb="2" eb="4">
      <t>タイショウ</t>
    </rPh>
    <phoneticPr fontId="3"/>
  </si>
  <si>
    <t>10％対象</t>
    <rPh sb="3" eb="5">
      <t>タイショウ</t>
    </rPh>
    <phoneticPr fontId="3"/>
  </si>
  <si>
    <t>* 印は軽減税率8％対象商品となります。</t>
    <rPh sb="2" eb="3">
      <t>シルシ</t>
    </rPh>
    <rPh sb="4" eb="6">
      <t>ケイゲン</t>
    </rPh>
    <rPh sb="6" eb="8">
      <t>ゼイリツ</t>
    </rPh>
    <rPh sb="10" eb="12">
      <t>タイショウ</t>
    </rPh>
    <rPh sb="12" eb="14">
      <t>ショウヒン</t>
    </rPh>
    <phoneticPr fontId="3"/>
  </si>
  <si>
    <t>天津甘栗</t>
    <rPh sb="0" eb="2">
      <t>テンシン</t>
    </rPh>
    <rPh sb="2" eb="3">
      <t>アマ</t>
    </rPh>
    <rPh sb="3" eb="4">
      <t>クリ</t>
    </rPh>
    <phoneticPr fontId="3"/>
  </si>
  <si>
    <t>売価</t>
    <rPh sb="0" eb="2">
      <t>バイカ</t>
    </rPh>
    <phoneticPr fontId="3"/>
  </si>
  <si>
    <t>原価</t>
    <rPh sb="0" eb="2">
      <t>ゲンカ</t>
    </rPh>
    <phoneticPr fontId="5"/>
  </si>
  <si>
    <t>金　額</t>
    <rPh sb="0" eb="1">
      <t>カネ</t>
    </rPh>
    <rPh sb="2" eb="3">
      <t>ガク</t>
    </rPh>
    <phoneticPr fontId="3"/>
  </si>
  <si>
    <t>単　価</t>
    <rPh sb="0" eb="1">
      <t>タン</t>
    </rPh>
    <rPh sb="2" eb="3">
      <t>アタイ</t>
    </rPh>
    <phoneticPr fontId="3"/>
  </si>
  <si>
    <r>
      <t xml:space="preserve">税込合計金額 </t>
    </r>
    <r>
      <rPr>
        <b/>
        <sz val="9"/>
        <color theme="1"/>
        <rFont val="Yu Gothic"/>
        <family val="3"/>
        <charset val="128"/>
        <scheme val="minor"/>
      </rPr>
      <t>( 原価合計）</t>
    </r>
    <rPh sb="0" eb="2">
      <t>ゼイコ</t>
    </rPh>
    <rPh sb="2" eb="6">
      <t>ゴウケイキンガク</t>
    </rPh>
    <phoneticPr fontId="3"/>
  </si>
  <si>
    <t>（消費税額等）</t>
    <rPh sb="1" eb="6">
      <t>ショウヒゼイガクトウ</t>
    </rPh>
    <phoneticPr fontId="3"/>
  </si>
  <si>
    <t>八乙女中央店　様</t>
    <rPh sb="0" eb="3">
      <t>ヤオトメ</t>
    </rPh>
    <rPh sb="3" eb="5">
      <t>チュウオウ</t>
    </rPh>
    <rPh sb="5" eb="6">
      <t>テン</t>
    </rPh>
    <rPh sb="7" eb="8">
      <t>サマ</t>
    </rPh>
    <phoneticPr fontId="3"/>
  </si>
  <si>
    <t>仏花</t>
    <rPh sb="0" eb="2">
      <t>ブッカ</t>
    </rPh>
    <phoneticPr fontId="3"/>
  </si>
  <si>
    <t>C</t>
    <phoneticPr fontId="3"/>
  </si>
  <si>
    <t>ネギ1束</t>
    <rPh sb="3" eb="4">
      <t>タバ</t>
    </rPh>
    <phoneticPr fontId="5"/>
  </si>
  <si>
    <t>新玉ねぎ</t>
    <rPh sb="0" eb="1">
      <t>シン</t>
    </rPh>
    <rPh sb="1" eb="2">
      <t>タマ</t>
    </rPh>
    <phoneticPr fontId="3"/>
  </si>
  <si>
    <t>レモン</t>
    <phoneticPr fontId="3"/>
  </si>
  <si>
    <t>キウイフルーツ</t>
    <phoneticPr fontId="3"/>
  </si>
  <si>
    <t>トマト</t>
    <phoneticPr fontId="5"/>
  </si>
  <si>
    <t>大町２丁目</t>
    <rPh sb="0" eb="2">
      <t>オオマチ</t>
    </rPh>
    <rPh sb="3" eb="5">
      <t>チョウメ</t>
    </rPh>
    <phoneticPr fontId="3"/>
  </si>
  <si>
    <t>大町２丁目店</t>
    <rPh sb="0" eb="2">
      <t>オオマチ</t>
    </rPh>
    <rPh sb="3" eb="5">
      <t>チョウメ</t>
    </rPh>
    <rPh sb="5" eb="6">
      <t>テン</t>
    </rPh>
    <phoneticPr fontId="3"/>
  </si>
  <si>
    <t>豚汁の具</t>
    <rPh sb="0" eb="2">
      <t>トンジル</t>
    </rPh>
    <rPh sb="3" eb="4">
      <t>グ</t>
    </rPh>
    <phoneticPr fontId="3"/>
  </si>
  <si>
    <t>水煮</t>
    <rPh sb="0" eb="2">
      <t>ミズニ</t>
    </rPh>
    <phoneticPr fontId="3"/>
  </si>
  <si>
    <t>里芋</t>
    <rPh sb="0" eb="2">
      <t>サトイモ</t>
    </rPh>
    <phoneticPr fontId="5"/>
  </si>
  <si>
    <t>ごぼう</t>
    <phoneticPr fontId="5"/>
  </si>
  <si>
    <t>みょうが</t>
    <phoneticPr fontId="3"/>
  </si>
  <si>
    <t>チンゲン菜</t>
    <rPh sb="4" eb="5">
      <t>サイ</t>
    </rPh>
    <phoneticPr fontId="5"/>
  </si>
  <si>
    <t>胡瓜2本</t>
    <rPh sb="0" eb="2">
      <t>キュウリ</t>
    </rPh>
    <rPh sb="3" eb="4">
      <t>ホン</t>
    </rPh>
    <phoneticPr fontId="5"/>
  </si>
  <si>
    <t>イチゴ</t>
    <phoneticPr fontId="3"/>
  </si>
  <si>
    <t>ブロッコリー</t>
    <phoneticPr fontId="3"/>
  </si>
  <si>
    <t>ほうれん草</t>
    <rPh sb="4" eb="5">
      <t>ソウ</t>
    </rPh>
    <phoneticPr fontId="5"/>
  </si>
  <si>
    <t xml:space="preserve">                                                                                           </t>
    <phoneticPr fontId="3"/>
  </si>
  <si>
    <t>レタス</t>
    <phoneticPr fontId="5"/>
  </si>
  <si>
    <t>フルーツトマト</t>
    <phoneticPr fontId="5"/>
  </si>
  <si>
    <t>サニーレタス</t>
    <phoneticPr fontId="5"/>
  </si>
  <si>
    <t>ブドウ</t>
    <phoneticPr fontId="3"/>
  </si>
  <si>
    <t>白菜1/2個</t>
    <rPh sb="0" eb="2">
      <t>ハクサイ</t>
    </rPh>
    <rPh sb="5" eb="6">
      <t>コ</t>
    </rPh>
    <phoneticPr fontId="5"/>
  </si>
  <si>
    <t>たけのこ水煮</t>
    <rPh sb="4" eb="6">
      <t>ミズニ</t>
    </rPh>
    <phoneticPr fontId="3"/>
  </si>
  <si>
    <t>玉ねぎS</t>
    <rPh sb="0" eb="1">
      <t>タマ</t>
    </rPh>
    <phoneticPr fontId="5"/>
  </si>
  <si>
    <t>中国ニンニク</t>
    <rPh sb="0" eb="2">
      <t>チュウゴク</t>
    </rPh>
    <phoneticPr fontId="5"/>
  </si>
  <si>
    <t>メロン</t>
    <phoneticPr fontId="3"/>
  </si>
  <si>
    <t>個</t>
    <rPh sb="0" eb="1">
      <t>コ</t>
    </rPh>
    <phoneticPr fontId="3"/>
  </si>
  <si>
    <t>切り干し大根</t>
    <rPh sb="0" eb="1">
      <t>キ</t>
    </rPh>
    <rPh sb="2" eb="3">
      <t>ホ</t>
    </rPh>
    <rPh sb="4" eb="6">
      <t>ダイコン</t>
    </rPh>
    <phoneticPr fontId="3"/>
  </si>
  <si>
    <t>キャベツ1個</t>
    <rPh sb="5" eb="6">
      <t>コ</t>
    </rPh>
    <phoneticPr fontId="5"/>
  </si>
  <si>
    <t>とうもろこし</t>
    <phoneticPr fontId="5"/>
  </si>
  <si>
    <t>もも1個</t>
    <rPh sb="3" eb="4">
      <t>コ</t>
    </rPh>
    <phoneticPr fontId="3"/>
  </si>
  <si>
    <t>大根1本</t>
    <rPh sb="0" eb="2">
      <t>ダイコン</t>
    </rPh>
    <rPh sb="3" eb="4">
      <t>ホン</t>
    </rPh>
    <phoneticPr fontId="5"/>
  </si>
  <si>
    <t>オレンジ３個</t>
    <rPh sb="5" eb="6">
      <t>コ</t>
    </rPh>
    <phoneticPr fontId="3"/>
  </si>
  <si>
    <t>茄子2本</t>
    <rPh sb="0" eb="2">
      <t>ナス</t>
    </rPh>
    <rPh sb="3" eb="4">
      <t>ホン</t>
    </rPh>
    <phoneticPr fontId="3"/>
  </si>
  <si>
    <t>シャインマスカット</t>
    <phoneticPr fontId="3"/>
  </si>
  <si>
    <t>デラウエア</t>
    <phoneticPr fontId="3"/>
  </si>
  <si>
    <t>にら</t>
    <phoneticPr fontId="3"/>
  </si>
  <si>
    <t>枝豆２００g</t>
    <rPh sb="0" eb="2">
      <t>エダマメ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</si>
</sst>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[$]ggge&quot;年&quot;m&quot;月&quot;d&quot;日&quot;;@" x16r2:formatCode16="[$-ja-JP-x-gannen]ggge&quot;年&quot;m&quot;月&quot;d&quot;日&quot;;@"/>
    <numFmt numFmtId="177" formatCode="@&quot;*&quot;"/>
    <numFmt numFmtId="178" formatCode="[$-411]ggge&quot;年&quot;m&quot;月&quot;d&quot;日&quot;\(aaa\)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9"/>
      <color theme="1"/>
      <name val="Yu Gothic"/>
      <family val="2"/>
      <scheme val="minor"/>
    </font>
    <font>
      <b/>
      <sz val="10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b/>
      <sz val="11"/>
      <color indexed="8"/>
      <name val="Yu Gothic"/>
      <family val="3"/>
      <charset val="128"/>
      <scheme val="minor"/>
    </font>
    <font>
      <b/>
      <sz val="9"/>
      <color indexed="8"/>
      <name val="Yu Gothic"/>
      <family val="3"/>
      <charset val="128"/>
      <scheme val="minor"/>
    </font>
    <font>
      <sz val="10"/>
      <color indexed="8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b/>
      <sz val="13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7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1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1" fillId="0" borderId="3" xfId="0" applyFont="1" applyBorder="1"/>
    <xf numFmtId="0" fontId="12" fillId="0" borderId="3" xfId="0" applyFont="1" applyBorder="1"/>
    <xf numFmtId="0" fontId="18" fillId="0" borderId="0" xfId="0" applyFont="1" applyAlignment="1">
      <alignment horizontal="center" shrinkToFit="1"/>
    </xf>
    <xf numFmtId="0" fontId="18" fillId="0" borderId="0" xfId="0" applyFont="1"/>
    <xf numFmtId="0" fontId="0" fillId="0" borderId="6" xfId="0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 shrinkToFit="1"/>
      <protection locked="0"/>
    </xf>
    <xf numFmtId="0" fontId="0" fillId="0" borderId="2" xfId="0" applyBorder="1" applyAlignment="1" applyProtection="1">
      <alignment horizontal="center" vertical="center" shrinkToFit="1"/>
      <protection locked="0"/>
    </xf>
    <xf numFmtId="38" fontId="0" fillId="0" borderId="2" xfId="1" applyFont="1" applyFill="1" applyBorder="1" applyProtection="1">
      <alignment vertical="center"/>
      <protection locked="0"/>
    </xf>
    <xf numFmtId="38" fontId="0" fillId="0" borderId="2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38" fontId="0" fillId="0" borderId="2" xfId="0" applyNumberForma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38" fontId="10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38" fontId="20" fillId="0" borderId="2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8" fontId="20" fillId="0" borderId="4" xfId="0" applyNumberFormat="1" applyFont="1" applyBorder="1" applyAlignment="1">
      <alignment vertical="center"/>
    </xf>
    <xf numFmtId="38" fontId="10" fillId="0" borderId="4" xfId="0" applyNumberFormat="1" applyFont="1" applyBorder="1" applyAlignment="1">
      <alignment vertical="center"/>
    </xf>
    <xf numFmtId="9" fontId="0" fillId="0" borderId="2" xfId="2" applyFont="1" applyBorder="1" applyProtection="1">
      <alignment vertical="center"/>
      <protection locked="0"/>
    </xf>
    <xf numFmtId="9" fontId="0" fillId="0" borderId="2" xfId="1" applyNumberFormat="1" applyFont="1" applyBorder="1" applyAlignment="1" applyProtection="1">
      <alignment vertical="center"/>
      <protection locked="0"/>
    </xf>
    <xf numFmtId="38" fontId="16" fillId="0" borderId="0" xfId="1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9" fontId="0" fillId="0" borderId="0" xfId="0" applyNumberFormat="1" applyAlignment="1" applyProtection="1">
      <alignment vertical="center"/>
      <protection locked="0"/>
    </xf>
    <xf numFmtId="38" fontId="0" fillId="0" borderId="2" xfId="1" applyFont="1" applyBorder="1" applyAlignment="1" applyProtection="1">
      <alignment vertical="center"/>
    </xf>
    <xf numFmtId="38" fontId="16" fillId="0" borderId="2" xfId="1" applyFont="1" applyBorder="1" applyAlignment="1" applyProtection="1">
      <alignment vertical="center"/>
    </xf>
    <xf numFmtId="38" fontId="7" fillId="5" borderId="2" xfId="1" applyFont="1" applyFill="1" applyBorder="1" applyAlignment="1" applyProtection="1">
      <alignment vertical="center"/>
    </xf>
    <xf numFmtId="1" fontId="0" fillId="0" borderId="2" xfId="0" applyNumberFormat="1" applyBorder="1" applyAlignment="1">
      <alignment vertical="center"/>
    </xf>
    <xf numFmtId="9" fontId="0" fillId="0" borderId="2" xfId="2" applyFont="1" applyBorder="1" applyProtection="1">
      <alignment vertical="center"/>
    </xf>
    <xf numFmtId="38" fontId="0" fillId="0" borderId="2" xfId="0" applyNumberForma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2" borderId="2" xfId="0" applyFont="1" applyFill="1" applyBorder="1" applyAlignment="1">
      <alignment horizontal="center" vertical="center" shrinkToFit="1"/>
    </xf>
    <xf numFmtId="56" fontId="12" fillId="2" borderId="2" xfId="0" applyNumberFormat="1" applyFont="1" applyFill="1" applyBorder="1" applyAlignment="1">
      <alignment horizontal="center" vertical="center" shrinkToFit="1"/>
    </xf>
    <xf numFmtId="0" fontId="16" fillId="5" borderId="2" xfId="0" applyFont="1" applyFill="1" applyBorder="1" applyAlignment="1">
      <alignment horizontal="center" vertical="center"/>
    </xf>
    <xf numFmtId="38" fontId="16" fillId="5" borderId="2" xfId="1" applyFont="1" applyFill="1" applyBorder="1" applyAlignment="1" applyProtection="1">
      <alignment horizontal="center" vertical="center"/>
    </xf>
    <xf numFmtId="0" fontId="20" fillId="0" borderId="15" xfId="0" applyFont="1" applyBorder="1" applyAlignment="1">
      <alignment horizontal="center" vertical="center" shrinkToFit="1"/>
    </xf>
    <xf numFmtId="0" fontId="20" fillId="0" borderId="13" xfId="0" applyFont="1" applyBorder="1" applyAlignment="1">
      <alignment horizontal="center" vertical="center" shrinkToFi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 shrinkToFit="1"/>
    </xf>
    <xf numFmtId="0" fontId="12" fillId="0" borderId="4" xfId="0" applyFont="1" applyBorder="1" applyAlignment="1">
      <alignment horizontal="center" vertical="center"/>
    </xf>
    <xf numFmtId="177" fontId="12" fillId="0" borderId="4" xfId="0" applyNumberFormat="1" applyFont="1" applyBorder="1" applyAlignment="1">
      <alignment vertical="center" shrinkToFit="1"/>
    </xf>
    <xf numFmtId="38" fontId="12" fillId="0" borderId="4" xfId="1" applyFont="1" applyBorder="1">
      <alignment vertical="center"/>
    </xf>
    <xf numFmtId="38" fontId="12" fillId="0" borderId="4" xfId="0" applyNumberFormat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38" fontId="12" fillId="0" borderId="2" xfId="1" applyFont="1" applyBorder="1">
      <alignment vertical="center"/>
    </xf>
    <xf numFmtId="38" fontId="12" fillId="0" borderId="2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2" fillId="0" borderId="11" xfId="0" applyNumberFormat="1" applyFont="1" applyBorder="1" applyAlignment="1">
      <alignment vertical="center" shrinkToFit="1"/>
    </xf>
    <xf numFmtId="38" fontId="12" fillId="0" borderId="11" xfId="1" applyFont="1" applyBorder="1">
      <alignment vertical="center"/>
    </xf>
    <xf numFmtId="38" fontId="12" fillId="0" borderId="11" xfId="0" applyNumberFormat="1" applyFont="1" applyBorder="1" applyAlignment="1">
      <alignment vertical="center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7" fillId="0" borderId="0" xfId="0" applyFont="1" applyAlignment="1" applyProtection="1">
      <alignment vertical="center"/>
      <protection locked="0"/>
    </xf>
    <xf numFmtId="38" fontId="17" fillId="0" borderId="2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" fillId="0" borderId="2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78" fontId="10" fillId="4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6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24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/>
    </xf>
    <xf numFmtId="6" fontId="19" fillId="0" borderId="7" xfId="0" applyNumberFormat="1" applyFont="1" applyBorder="1" applyAlignment="1">
      <alignment horizontal="center" vertical="center"/>
    </xf>
    <xf numFmtId="6" fontId="19" fillId="0" borderId="8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21" fillId="0" borderId="14" xfId="0" applyFont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2" fillId="0" borderId="1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/>
    </xf>
    <xf numFmtId="56" fontId="12" fillId="0" borderId="16" xfId="0" applyNumberFormat="1" applyFont="1" applyBorder="1" applyAlignment="1">
      <alignment horizontal="center" vertical="center" shrinkToFit="1"/>
    </xf>
    <xf numFmtId="56" fontId="12" fillId="0" borderId="4" xfId="0" applyNumberFormat="1" applyFont="1" applyBorder="1" applyAlignment="1">
      <alignment horizontal="center" vertical="center" shrinkToFit="1"/>
    </xf>
    <xf numFmtId="6" fontId="12" fillId="0" borderId="17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E7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A061-8FC4-4238-9BED-0D667B399CB8}">
  <sheetPr codeName="Sheet1">
    <tabColor rgb="FFFFCCFF"/>
    <pageSetUpPr fitToPage="1"/>
  </sheetPr>
  <dimension ref="A1:S71"/>
  <sheetViews>
    <sheetView topLeftCell="A7" zoomScale="85" zoomScaleNormal="85" workbookViewId="0">
      <pane xSplit="8" topLeftCell="I1" activePane="topRight" state="frozen"/>
      <selection activeCell="A7" sqref="A7"/>
      <selection pane="topRight" activeCell="I45" sqref="I45"/>
    </sheetView>
  </sheetViews>
  <sheetFormatPr defaultColWidth="8.75" defaultRowHeight="18.75"/>
  <cols>
    <col min="1" max="1" width="3.125" style="19" customWidth="1"/>
    <col min="2" max="2" width="13.375" style="19" customWidth="1"/>
    <col min="3" max="3" width="6.625" style="19" customWidth="1"/>
    <col min="4" max="5" width="7" style="19" customWidth="1"/>
    <col min="6" max="7" width="7" style="19" hidden="1" customWidth="1"/>
    <col min="8" max="8" width="5.375" style="19" customWidth="1"/>
    <col min="9" max="9" width="7" style="20" customWidth="1"/>
    <col min="10" max="13" width="7" style="19" customWidth="1"/>
    <col min="14" max="15" width="7" style="19" hidden="1" customWidth="1"/>
    <col min="16" max="16" width="1.25" style="19" hidden="1" customWidth="1"/>
    <col min="17" max="17" width="6.625" style="78" customWidth="1"/>
    <col min="18" max="18" width="7.375" style="44" customWidth="1"/>
    <col min="19" max="16384" width="8.75" style="19"/>
  </cols>
  <sheetData>
    <row r="1" spans="1:19" hidden="1"/>
    <row r="2" spans="1:19" hidden="1"/>
    <row r="3" spans="1:19" hidden="1"/>
    <row r="4" spans="1:19" hidden="1"/>
    <row r="5" spans="1:19" hidden="1"/>
    <row r="6" spans="1:19" ht="24.6" hidden="1" customHeight="1">
      <c r="B6" s="21"/>
      <c r="C6" s="22"/>
    </row>
    <row r="7" spans="1:19" ht="4.5" customHeight="1">
      <c r="B7" s="21"/>
      <c r="C7" s="22"/>
    </row>
    <row r="8" spans="1:19" s="23" customFormat="1" ht="24" customHeight="1" thickBot="1">
      <c r="B8" s="82" t="s">
        <v>0</v>
      </c>
      <c r="C8" s="82"/>
      <c r="D8" s="83">
        <v>46231</v>
      </c>
      <c r="E8" s="83"/>
      <c r="F8" s="83"/>
      <c r="G8" s="83"/>
      <c r="H8" s="83"/>
      <c r="I8" s="20"/>
      <c r="Q8" s="45" t="s">
        <v>41</v>
      </c>
      <c r="R8" s="44"/>
    </row>
    <row r="9" spans="1:19" s="23" customFormat="1" ht="2.25" customHeight="1" thickTop="1">
      <c r="B9" s="24"/>
      <c r="C9" s="24"/>
      <c r="D9" s="21"/>
      <c r="E9" s="21"/>
      <c r="F9" s="21"/>
      <c r="G9" s="21"/>
      <c r="I9" s="25"/>
      <c r="Q9" s="78"/>
      <c r="R9" s="44"/>
    </row>
    <row r="10" spans="1:19" ht="0.75" customHeight="1">
      <c r="B10" s="21"/>
      <c r="E10" s="21"/>
      <c r="F10" s="21"/>
      <c r="G10" s="21"/>
      <c r="H10" s="21"/>
      <c r="I10" s="24"/>
    </row>
    <row r="11" spans="1:19" ht="7.9" hidden="1" customHeight="1">
      <c r="B11" s="21"/>
      <c r="E11" s="21"/>
      <c r="F11" s="21"/>
      <c r="G11" s="21"/>
      <c r="H11" s="21"/>
      <c r="I11" s="24"/>
    </row>
    <row r="12" spans="1:19" ht="27" customHeight="1">
      <c r="A12" s="6"/>
      <c r="B12" s="53" t="s">
        <v>1</v>
      </c>
      <c r="C12" s="54" t="s">
        <v>2</v>
      </c>
      <c r="D12" s="54" t="s">
        <v>3</v>
      </c>
      <c r="E12" s="54" t="s">
        <v>4</v>
      </c>
      <c r="F12" s="54"/>
      <c r="G12" s="54"/>
      <c r="H12" s="55" t="s">
        <v>5</v>
      </c>
      <c r="I12" s="56" t="s">
        <v>62</v>
      </c>
      <c r="J12" s="56"/>
      <c r="K12" s="56"/>
      <c r="L12" s="56"/>
      <c r="M12" s="56"/>
      <c r="N12" s="56" t="s">
        <v>32</v>
      </c>
      <c r="O12" s="56" t="s">
        <v>33</v>
      </c>
      <c r="P12" s="1"/>
      <c r="Q12" s="57" t="s">
        <v>40</v>
      </c>
      <c r="R12" s="58" t="s">
        <v>42</v>
      </c>
    </row>
    <row r="13" spans="1:19" ht="13.5" customHeight="1">
      <c r="A13" s="26">
        <v>1</v>
      </c>
      <c r="B13" s="27" t="s">
        <v>6</v>
      </c>
      <c r="C13" s="28">
        <v>3</v>
      </c>
      <c r="D13" s="29">
        <v>218</v>
      </c>
      <c r="E13" s="47">
        <f>ROUNDUP(D13*G13,0)</f>
        <v>164</v>
      </c>
      <c r="F13" s="43">
        <v>1</v>
      </c>
      <c r="G13" s="43">
        <f>F13-H13</f>
        <v>0.75</v>
      </c>
      <c r="H13" s="42">
        <v>0.25</v>
      </c>
      <c r="I13" s="30">
        <v>10</v>
      </c>
      <c r="J13" s="30"/>
      <c r="K13" s="30"/>
      <c r="L13" s="30"/>
      <c r="M13" s="30"/>
      <c r="N13" s="30">
        <v>0</v>
      </c>
      <c r="O13" s="30">
        <v>0</v>
      </c>
      <c r="Q13" s="79">
        <f>SUM(I13:P13)</f>
        <v>10</v>
      </c>
      <c r="R13" s="48">
        <f>E13*Q13</f>
        <v>1640</v>
      </c>
      <c r="S13" s="46"/>
    </row>
    <row r="14" spans="1:19" ht="13.5" customHeight="1">
      <c r="A14" s="26">
        <v>2</v>
      </c>
      <c r="B14" s="27" t="s">
        <v>6</v>
      </c>
      <c r="C14" s="28">
        <v>3</v>
      </c>
      <c r="D14" s="29">
        <v>93</v>
      </c>
      <c r="E14" s="47">
        <f t="shared" ref="E14:E69" si="0">ROUNDUP(D14*G14,0)</f>
        <v>70</v>
      </c>
      <c r="F14" s="43">
        <v>1</v>
      </c>
      <c r="G14" s="43">
        <f t="shared" ref="G14:G69" si="1">F14-H14</f>
        <v>0.75</v>
      </c>
      <c r="H14" s="42">
        <v>0.25</v>
      </c>
      <c r="I14" s="30"/>
      <c r="J14" s="30"/>
      <c r="K14" s="30"/>
      <c r="L14" s="30"/>
      <c r="M14" s="30"/>
      <c r="N14" s="30">
        <v>0</v>
      </c>
      <c r="O14" s="30">
        <v>0</v>
      </c>
      <c r="Q14" s="79">
        <f t="shared" ref="Q14:Q69" si="2">SUM(I14:P14)</f>
        <v>0</v>
      </c>
      <c r="R14" s="48">
        <f t="shared" ref="R14:R70" si="3">E14*Q14</f>
        <v>0</v>
      </c>
      <c r="S14" s="46"/>
    </row>
    <row r="15" spans="1:19" ht="13.5" customHeight="1">
      <c r="A15" s="26">
        <v>3</v>
      </c>
      <c r="B15" s="27" t="s">
        <v>81</v>
      </c>
      <c r="C15" s="28">
        <v>10</v>
      </c>
      <c r="D15" s="29">
        <v>138</v>
      </c>
      <c r="E15" s="47">
        <f t="shared" si="0"/>
        <v>104</v>
      </c>
      <c r="F15" s="43">
        <v>1</v>
      </c>
      <c r="G15" s="43">
        <f t="shared" si="1"/>
        <v>0.75</v>
      </c>
      <c r="H15" s="42">
        <v>0.25</v>
      </c>
      <c r="I15" s="30"/>
      <c r="J15" s="30"/>
      <c r="K15" s="30"/>
      <c r="L15" s="30"/>
      <c r="M15" s="30"/>
      <c r="N15" s="30">
        <v>0</v>
      </c>
      <c r="O15" s="30">
        <v>0</v>
      </c>
      <c r="Q15" s="79">
        <f t="shared" si="2"/>
        <v>0</v>
      </c>
      <c r="R15" s="48">
        <f t="shared" si="3"/>
        <v>0</v>
      </c>
      <c r="S15" s="46"/>
    </row>
    <row r="16" spans="1:19" ht="13.5" customHeight="1">
      <c r="A16" s="26">
        <v>4</v>
      </c>
      <c r="B16" s="27" t="s">
        <v>66</v>
      </c>
      <c r="C16" s="28">
        <v>10</v>
      </c>
      <c r="D16" s="29">
        <v>198</v>
      </c>
      <c r="E16" s="47">
        <f t="shared" si="0"/>
        <v>149</v>
      </c>
      <c r="F16" s="43">
        <v>1</v>
      </c>
      <c r="G16" s="43">
        <f t="shared" si="1"/>
        <v>0.75</v>
      </c>
      <c r="H16" s="42">
        <v>0.25</v>
      </c>
      <c r="I16" s="30"/>
      <c r="J16" s="30"/>
      <c r="K16" s="30"/>
      <c r="L16" s="30"/>
      <c r="M16" s="30"/>
      <c r="N16" s="30">
        <v>0</v>
      </c>
      <c r="O16" s="30">
        <v>0</v>
      </c>
      <c r="Q16" s="79">
        <f t="shared" si="2"/>
        <v>0</v>
      </c>
      <c r="R16" s="48">
        <f t="shared" si="3"/>
        <v>0</v>
      </c>
      <c r="S16" s="46"/>
    </row>
    <row r="17" spans="1:19" ht="13.5" customHeight="1">
      <c r="A17" s="26">
        <v>5</v>
      </c>
      <c r="B17" s="27" t="s">
        <v>7</v>
      </c>
      <c r="C17" s="28">
        <v>5</v>
      </c>
      <c r="D17" s="29">
        <v>128</v>
      </c>
      <c r="E17" s="47">
        <f t="shared" si="0"/>
        <v>96</v>
      </c>
      <c r="F17" s="43">
        <v>1</v>
      </c>
      <c r="G17" s="43">
        <f t="shared" si="1"/>
        <v>0.75</v>
      </c>
      <c r="H17" s="42">
        <v>0.25</v>
      </c>
      <c r="I17" s="30">
        <v>5</v>
      </c>
      <c r="J17" s="30"/>
      <c r="K17" s="30"/>
      <c r="L17" s="30"/>
      <c r="M17" s="30"/>
      <c r="N17" s="30">
        <v>0</v>
      </c>
      <c r="O17" s="30">
        <v>0</v>
      </c>
      <c r="Q17" s="79">
        <f t="shared" si="2"/>
        <v>5</v>
      </c>
      <c r="R17" s="48">
        <f t="shared" si="3"/>
        <v>480</v>
      </c>
      <c r="S17" s="46"/>
    </row>
    <row r="18" spans="1:19" ht="13.5" customHeight="1">
      <c r="A18" s="26">
        <v>6</v>
      </c>
      <c r="B18" s="27" t="s">
        <v>8</v>
      </c>
      <c r="C18" s="28">
        <v>7</v>
      </c>
      <c r="D18" s="29">
        <v>128</v>
      </c>
      <c r="E18" s="47">
        <f t="shared" si="0"/>
        <v>96</v>
      </c>
      <c r="F18" s="43">
        <v>1</v>
      </c>
      <c r="G18" s="43">
        <f t="shared" si="1"/>
        <v>0.75</v>
      </c>
      <c r="H18" s="42">
        <v>0.25</v>
      </c>
      <c r="I18" s="30"/>
      <c r="J18" s="30"/>
      <c r="K18" s="30"/>
      <c r="L18" s="30"/>
      <c r="M18" s="30"/>
      <c r="N18" s="30">
        <v>0</v>
      </c>
      <c r="O18" s="30">
        <v>0</v>
      </c>
      <c r="Q18" s="79">
        <f t="shared" si="2"/>
        <v>0</v>
      </c>
      <c r="R18" s="48">
        <f t="shared" si="3"/>
        <v>0</v>
      </c>
      <c r="S18" s="46"/>
    </row>
    <row r="19" spans="1:19" ht="13.5" customHeight="1">
      <c r="A19" s="26">
        <v>7</v>
      </c>
      <c r="B19" s="27" t="s">
        <v>70</v>
      </c>
      <c r="C19" s="28">
        <v>5</v>
      </c>
      <c r="D19" s="29">
        <v>138</v>
      </c>
      <c r="E19" s="47">
        <f t="shared" si="0"/>
        <v>104</v>
      </c>
      <c r="F19" s="43">
        <v>1</v>
      </c>
      <c r="G19" s="43">
        <f t="shared" si="1"/>
        <v>0.75</v>
      </c>
      <c r="H19" s="42">
        <v>0.25</v>
      </c>
      <c r="I19" s="30">
        <v>5</v>
      </c>
      <c r="J19" s="30"/>
      <c r="K19" s="30"/>
      <c r="L19" s="30"/>
      <c r="M19" s="30"/>
      <c r="N19" s="30">
        <v>0</v>
      </c>
      <c r="O19" s="30">
        <v>0</v>
      </c>
      <c r="Q19" s="79">
        <f t="shared" si="2"/>
        <v>5</v>
      </c>
      <c r="R19" s="48">
        <f t="shared" si="3"/>
        <v>520</v>
      </c>
      <c r="S19" s="46"/>
    </row>
    <row r="20" spans="1:19" ht="13.5" customHeight="1">
      <c r="A20" s="26">
        <v>8</v>
      </c>
      <c r="B20" s="27" t="s">
        <v>61</v>
      </c>
      <c r="C20" s="28">
        <v>5</v>
      </c>
      <c r="D20" s="29">
        <v>288</v>
      </c>
      <c r="E20" s="47">
        <f t="shared" si="0"/>
        <v>216</v>
      </c>
      <c r="F20" s="43">
        <v>1</v>
      </c>
      <c r="G20" s="43">
        <f t="shared" si="1"/>
        <v>0.75</v>
      </c>
      <c r="H20" s="42">
        <v>0.25</v>
      </c>
      <c r="I20" s="30">
        <v>3</v>
      </c>
      <c r="J20" s="30"/>
      <c r="K20" s="30"/>
      <c r="L20" s="30"/>
      <c r="M20" s="30"/>
      <c r="N20" s="30">
        <v>0</v>
      </c>
      <c r="O20" s="30">
        <v>0</v>
      </c>
      <c r="Q20" s="79">
        <f t="shared" si="2"/>
        <v>3</v>
      </c>
      <c r="R20" s="48">
        <f t="shared" si="3"/>
        <v>648</v>
      </c>
      <c r="S20" s="46"/>
    </row>
    <row r="21" spans="1:19" ht="13.5" customHeight="1">
      <c r="A21" s="26">
        <v>9</v>
      </c>
      <c r="B21" s="27" t="s">
        <v>76</v>
      </c>
      <c r="C21" s="28">
        <v>7</v>
      </c>
      <c r="D21" s="29">
        <v>238</v>
      </c>
      <c r="E21" s="47">
        <f t="shared" si="0"/>
        <v>179</v>
      </c>
      <c r="F21" s="43">
        <v>1</v>
      </c>
      <c r="G21" s="43">
        <f t="shared" si="1"/>
        <v>0.75</v>
      </c>
      <c r="H21" s="42">
        <v>0.25</v>
      </c>
      <c r="I21" s="30"/>
      <c r="J21" s="30"/>
      <c r="K21" s="30"/>
      <c r="L21" s="30"/>
      <c r="M21" s="30"/>
      <c r="N21" s="30">
        <v>0</v>
      </c>
      <c r="O21" s="30">
        <v>0</v>
      </c>
      <c r="Q21" s="79">
        <f t="shared" si="2"/>
        <v>0</v>
      </c>
      <c r="R21" s="48">
        <f t="shared" si="3"/>
        <v>0</v>
      </c>
      <c r="S21" s="46"/>
    </row>
    <row r="22" spans="1:19" ht="13.5" customHeight="1">
      <c r="A22" s="26">
        <v>10</v>
      </c>
      <c r="B22" s="27" t="s">
        <v>9</v>
      </c>
      <c r="C22" s="28">
        <v>7</v>
      </c>
      <c r="D22" s="29">
        <v>298</v>
      </c>
      <c r="E22" s="47">
        <f t="shared" si="0"/>
        <v>224</v>
      </c>
      <c r="F22" s="43">
        <v>1</v>
      </c>
      <c r="G22" s="43">
        <f t="shared" si="1"/>
        <v>0.75</v>
      </c>
      <c r="H22" s="42">
        <v>0.25</v>
      </c>
      <c r="I22" s="30">
        <v>3</v>
      </c>
      <c r="J22" s="30"/>
      <c r="K22" s="30"/>
      <c r="L22" s="30"/>
      <c r="M22" s="30"/>
      <c r="N22" s="30">
        <v>0</v>
      </c>
      <c r="O22" s="30">
        <v>0</v>
      </c>
      <c r="Q22" s="79">
        <f t="shared" si="2"/>
        <v>3</v>
      </c>
      <c r="R22" s="48">
        <f t="shared" si="3"/>
        <v>672</v>
      </c>
      <c r="S22" s="46"/>
    </row>
    <row r="23" spans="1:19" ht="13.5" customHeight="1">
      <c r="A23" s="26">
        <v>11</v>
      </c>
      <c r="B23" s="27" t="s">
        <v>57</v>
      </c>
      <c r="C23" s="28">
        <v>7</v>
      </c>
      <c r="D23" s="29">
        <v>198</v>
      </c>
      <c r="E23" s="47">
        <f t="shared" si="0"/>
        <v>149</v>
      </c>
      <c r="F23" s="43">
        <v>1</v>
      </c>
      <c r="G23" s="43">
        <f t="shared" si="1"/>
        <v>0.75</v>
      </c>
      <c r="H23" s="42">
        <v>0.25</v>
      </c>
      <c r="I23" s="30"/>
      <c r="J23" s="30"/>
      <c r="K23" s="30"/>
      <c r="L23" s="30"/>
      <c r="M23" s="30"/>
      <c r="N23" s="30">
        <v>0</v>
      </c>
      <c r="O23" s="30">
        <v>0</v>
      </c>
      <c r="Q23" s="79">
        <f t="shared" si="2"/>
        <v>0</v>
      </c>
      <c r="R23" s="48">
        <f t="shared" si="3"/>
        <v>0</v>
      </c>
      <c r="S23" s="46"/>
    </row>
    <row r="24" spans="1:19" ht="13.5" customHeight="1">
      <c r="A24" s="26">
        <v>12</v>
      </c>
      <c r="B24" s="27" t="s">
        <v>10</v>
      </c>
      <c r="C24" s="28">
        <v>5</v>
      </c>
      <c r="D24" s="29">
        <v>198</v>
      </c>
      <c r="E24" s="47">
        <f t="shared" si="0"/>
        <v>149</v>
      </c>
      <c r="F24" s="43">
        <v>1</v>
      </c>
      <c r="G24" s="43">
        <f t="shared" si="1"/>
        <v>0.75</v>
      </c>
      <c r="H24" s="42">
        <v>0.25</v>
      </c>
      <c r="I24" s="30"/>
      <c r="J24" s="30"/>
      <c r="K24" s="30"/>
      <c r="L24" s="30"/>
      <c r="M24" s="30"/>
      <c r="N24" s="30">
        <v>0</v>
      </c>
      <c r="O24" s="30">
        <v>0</v>
      </c>
      <c r="Q24" s="79">
        <f t="shared" si="2"/>
        <v>0</v>
      </c>
      <c r="R24" s="48">
        <f t="shared" si="3"/>
        <v>0</v>
      </c>
      <c r="S24" s="46"/>
    </row>
    <row r="25" spans="1:19" ht="13.5" customHeight="1">
      <c r="A25" s="26">
        <v>13</v>
      </c>
      <c r="B25" s="27" t="s">
        <v>86</v>
      </c>
      <c r="C25" s="28">
        <v>5</v>
      </c>
      <c r="D25" s="29">
        <v>248</v>
      </c>
      <c r="E25" s="47">
        <f t="shared" si="0"/>
        <v>186</v>
      </c>
      <c r="F25" s="43">
        <v>1</v>
      </c>
      <c r="G25" s="43">
        <f t="shared" si="1"/>
        <v>0.75</v>
      </c>
      <c r="H25" s="42">
        <v>0.25</v>
      </c>
      <c r="I25" s="30"/>
      <c r="J25" s="30"/>
      <c r="K25" s="30"/>
      <c r="L25" s="30"/>
      <c r="M25" s="30"/>
      <c r="N25" s="30">
        <v>0</v>
      </c>
      <c r="O25" s="30">
        <v>0</v>
      </c>
      <c r="Q25" s="79">
        <f t="shared" si="2"/>
        <v>0</v>
      </c>
      <c r="R25" s="48">
        <f t="shared" si="3"/>
        <v>0</v>
      </c>
      <c r="S25" s="46"/>
    </row>
    <row r="26" spans="1:19" ht="13.5" customHeight="1">
      <c r="A26" s="26">
        <v>14</v>
      </c>
      <c r="B26" s="27" t="s">
        <v>77</v>
      </c>
      <c r="C26" s="28">
        <v>4</v>
      </c>
      <c r="D26" s="29">
        <v>98</v>
      </c>
      <c r="E26" s="47">
        <f t="shared" si="0"/>
        <v>74</v>
      </c>
      <c r="F26" s="43">
        <v>1</v>
      </c>
      <c r="G26" s="43">
        <f t="shared" si="1"/>
        <v>0.75</v>
      </c>
      <c r="H26" s="42">
        <v>0.25</v>
      </c>
      <c r="I26" s="30"/>
      <c r="J26" s="30"/>
      <c r="K26" s="30"/>
      <c r="L26" s="30"/>
      <c r="M26" s="30"/>
      <c r="N26" s="30">
        <v>0</v>
      </c>
      <c r="O26" s="30">
        <v>0</v>
      </c>
      <c r="Q26" s="79">
        <f t="shared" si="2"/>
        <v>0</v>
      </c>
      <c r="R26" s="48">
        <f t="shared" si="3"/>
        <v>0</v>
      </c>
      <c r="S26" s="46"/>
    </row>
    <row r="27" spans="1:19" ht="13.5" customHeight="1">
      <c r="A27" s="26">
        <v>15</v>
      </c>
      <c r="B27" s="27" t="s">
        <v>79</v>
      </c>
      <c r="C27" s="28">
        <v>3</v>
      </c>
      <c r="D27" s="29">
        <v>248</v>
      </c>
      <c r="E27" s="47">
        <f t="shared" si="0"/>
        <v>186</v>
      </c>
      <c r="F27" s="43">
        <v>1</v>
      </c>
      <c r="G27" s="43">
        <f t="shared" si="1"/>
        <v>0.75</v>
      </c>
      <c r="H27" s="42">
        <v>0.25</v>
      </c>
      <c r="I27" s="30"/>
      <c r="J27" s="30"/>
      <c r="K27" s="30"/>
      <c r="L27" s="30"/>
      <c r="M27" s="30"/>
      <c r="N27" s="30">
        <v>0</v>
      </c>
      <c r="O27" s="30">
        <v>0</v>
      </c>
      <c r="Q27" s="79">
        <f t="shared" si="2"/>
        <v>0</v>
      </c>
      <c r="R27" s="48">
        <f t="shared" si="3"/>
        <v>0</v>
      </c>
      <c r="S27" s="46"/>
    </row>
    <row r="28" spans="1:19" ht="13.5" customHeight="1">
      <c r="A28" s="26">
        <v>16</v>
      </c>
      <c r="B28" s="26" t="s">
        <v>89</v>
      </c>
      <c r="C28" s="31">
        <v>4</v>
      </c>
      <c r="D28" s="26">
        <v>128</v>
      </c>
      <c r="E28" s="47">
        <f t="shared" si="0"/>
        <v>96</v>
      </c>
      <c r="F28" s="43">
        <v>1</v>
      </c>
      <c r="G28" s="43">
        <f t="shared" si="1"/>
        <v>0.75</v>
      </c>
      <c r="H28" s="42">
        <v>0.25</v>
      </c>
      <c r="I28" s="32">
        <v>5</v>
      </c>
      <c r="J28" s="30"/>
      <c r="K28" s="30"/>
      <c r="L28" s="30"/>
      <c r="M28" s="30"/>
      <c r="N28" s="30">
        <v>0</v>
      </c>
      <c r="O28" s="30">
        <v>0</v>
      </c>
      <c r="Q28" s="79">
        <f t="shared" si="2"/>
        <v>5</v>
      </c>
      <c r="R28" s="48">
        <f t="shared" si="3"/>
        <v>480</v>
      </c>
      <c r="S28" s="46"/>
    </row>
    <row r="29" spans="1:19" ht="13.5" customHeight="1">
      <c r="A29" s="26">
        <v>17</v>
      </c>
      <c r="B29" s="26" t="s">
        <v>11</v>
      </c>
      <c r="C29" s="31">
        <v>5</v>
      </c>
      <c r="D29" s="26">
        <v>158</v>
      </c>
      <c r="E29" s="47">
        <f t="shared" si="0"/>
        <v>119</v>
      </c>
      <c r="F29" s="43">
        <v>1</v>
      </c>
      <c r="G29" s="43">
        <f t="shared" si="1"/>
        <v>0.75</v>
      </c>
      <c r="H29" s="42">
        <v>0.25</v>
      </c>
      <c r="I29" s="32"/>
      <c r="J29" s="30"/>
      <c r="K29" s="30"/>
      <c r="L29" s="30"/>
      <c r="M29" s="30"/>
      <c r="N29" s="30">
        <v>0</v>
      </c>
      <c r="O29" s="30">
        <v>0</v>
      </c>
      <c r="Q29" s="79">
        <f t="shared" si="2"/>
        <v>0</v>
      </c>
      <c r="R29" s="48">
        <f t="shared" si="3"/>
        <v>0</v>
      </c>
    </row>
    <row r="30" spans="1:19" ht="13.5" customHeight="1">
      <c r="A30" s="26">
        <v>18</v>
      </c>
      <c r="B30" s="33" t="s">
        <v>75</v>
      </c>
      <c r="C30" s="31">
        <v>5</v>
      </c>
      <c r="D30" s="26">
        <v>198</v>
      </c>
      <c r="E30" s="47">
        <f t="shared" si="0"/>
        <v>149</v>
      </c>
      <c r="F30" s="43">
        <v>1</v>
      </c>
      <c r="G30" s="43">
        <f t="shared" si="1"/>
        <v>0.75</v>
      </c>
      <c r="H30" s="42">
        <v>0.25</v>
      </c>
      <c r="I30" s="32"/>
      <c r="J30" s="30"/>
      <c r="K30" s="30"/>
      <c r="L30" s="30"/>
      <c r="M30" s="30"/>
      <c r="N30" s="30">
        <v>0</v>
      </c>
      <c r="O30" s="30">
        <v>0</v>
      </c>
      <c r="Q30" s="79">
        <f t="shared" si="2"/>
        <v>0</v>
      </c>
      <c r="R30" s="48">
        <f t="shared" si="3"/>
        <v>0</v>
      </c>
    </row>
    <row r="31" spans="1:19" ht="13.5" customHeight="1">
      <c r="A31" s="26">
        <v>19</v>
      </c>
      <c r="B31" s="26" t="s">
        <v>69</v>
      </c>
      <c r="C31" s="31">
        <v>5</v>
      </c>
      <c r="D31" s="26">
        <v>98</v>
      </c>
      <c r="E31" s="47">
        <f t="shared" si="0"/>
        <v>74</v>
      </c>
      <c r="F31" s="43">
        <v>1</v>
      </c>
      <c r="G31" s="43">
        <f t="shared" si="1"/>
        <v>0.75</v>
      </c>
      <c r="H31" s="42">
        <v>0.25</v>
      </c>
      <c r="I31" s="32"/>
      <c r="J31" s="30"/>
      <c r="K31" s="30"/>
      <c r="L31" s="30"/>
      <c r="M31" s="30"/>
      <c r="N31" s="30">
        <v>0</v>
      </c>
      <c r="O31" s="30">
        <v>0</v>
      </c>
      <c r="Q31" s="79">
        <f t="shared" si="2"/>
        <v>0</v>
      </c>
      <c r="R31" s="48">
        <f t="shared" si="3"/>
        <v>0</v>
      </c>
    </row>
    <row r="32" spans="1:19" ht="13.5" customHeight="1">
      <c r="A32" s="26">
        <v>20</v>
      </c>
      <c r="B32" s="26" t="s">
        <v>12</v>
      </c>
      <c r="C32" s="31">
        <v>6</v>
      </c>
      <c r="D32" s="26">
        <v>138</v>
      </c>
      <c r="E32" s="47">
        <f t="shared" si="0"/>
        <v>104</v>
      </c>
      <c r="F32" s="43">
        <v>1</v>
      </c>
      <c r="G32" s="43">
        <f t="shared" si="1"/>
        <v>0.75</v>
      </c>
      <c r="H32" s="42">
        <v>0.25</v>
      </c>
      <c r="I32" s="32">
        <v>3</v>
      </c>
      <c r="J32" s="30"/>
      <c r="K32" s="30"/>
      <c r="L32" s="30"/>
      <c r="M32" s="30"/>
      <c r="N32" s="30">
        <v>0</v>
      </c>
      <c r="O32" s="30">
        <v>0</v>
      </c>
      <c r="Q32" s="79">
        <f t="shared" si="2"/>
        <v>3</v>
      </c>
      <c r="R32" s="48">
        <f t="shared" si="3"/>
        <v>312</v>
      </c>
    </row>
    <row r="33" spans="1:18" ht="13.5" customHeight="1">
      <c r="A33" s="26">
        <v>21</v>
      </c>
      <c r="B33" s="26" t="s">
        <v>91</v>
      </c>
      <c r="C33" s="31">
        <v>5</v>
      </c>
      <c r="D33" s="26">
        <v>178</v>
      </c>
      <c r="E33" s="47">
        <f t="shared" si="0"/>
        <v>134</v>
      </c>
      <c r="F33" s="43">
        <v>1</v>
      </c>
      <c r="G33" s="43">
        <f t="shared" si="1"/>
        <v>0.75</v>
      </c>
      <c r="H33" s="42">
        <v>0.25</v>
      </c>
      <c r="I33" s="32"/>
      <c r="J33" s="30"/>
      <c r="K33" s="30"/>
      <c r="L33" s="30"/>
      <c r="M33" s="30"/>
      <c r="N33" s="30">
        <v>0</v>
      </c>
      <c r="O33" s="30">
        <v>0</v>
      </c>
      <c r="Q33" s="79">
        <f t="shared" si="2"/>
        <v>0</v>
      </c>
      <c r="R33" s="48">
        <f t="shared" si="3"/>
        <v>0</v>
      </c>
    </row>
    <row r="34" spans="1:18" ht="13.5" customHeight="1">
      <c r="A34" s="26">
        <v>22</v>
      </c>
      <c r="B34" s="26" t="s">
        <v>13</v>
      </c>
      <c r="C34" s="31">
        <v>7</v>
      </c>
      <c r="D34" s="26">
        <v>238</v>
      </c>
      <c r="E34" s="47">
        <f t="shared" si="0"/>
        <v>179</v>
      </c>
      <c r="F34" s="43">
        <v>1</v>
      </c>
      <c r="G34" s="43">
        <f t="shared" si="1"/>
        <v>0.75</v>
      </c>
      <c r="H34" s="42">
        <v>0.25</v>
      </c>
      <c r="I34" s="32"/>
      <c r="J34" s="30"/>
      <c r="K34" s="30"/>
      <c r="L34" s="30"/>
      <c r="M34" s="30"/>
      <c r="N34" s="30">
        <v>0</v>
      </c>
      <c r="O34" s="30">
        <v>0</v>
      </c>
      <c r="Q34" s="79">
        <f t="shared" si="2"/>
        <v>0</v>
      </c>
      <c r="R34" s="48">
        <f t="shared" si="3"/>
        <v>0</v>
      </c>
    </row>
    <row r="35" spans="1:18" ht="13.5" customHeight="1">
      <c r="A35" s="26">
        <v>23</v>
      </c>
      <c r="B35" s="26" t="s">
        <v>67</v>
      </c>
      <c r="C35" s="31">
        <v>5</v>
      </c>
      <c r="D35" s="26">
        <v>248</v>
      </c>
      <c r="E35" s="47">
        <f t="shared" si="0"/>
        <v>186</v>
      </c>
      <c r="F35" s="43">
        <v>1</v>
      </c>
      <c r="G35" s="43">
        <f t="shared" si="1"/>
        <v>0.75</v>
      </c>
      <c r="H35" s="42">
        <v>0.25</v>
      </c>
      <c r="I35" s="32"/>
      <c r="J35" s="30"/>
      <c r="K35" s="30"/>
      <c r="L35" s="30"/>
      <c r="M35" s="30"/>
      <c r="N35" s="30">
        <v>0</v>
      </c>
      <c r="O35" s="30">
        <v>0</v>
      </c>
      <c r="Q35" s="79">
        <f t="shared" si="2"/>
        <v>0</v>
      </c>
      <c r="R35" s="48">
        <f t="shared" si="3"/>
        <v>0</v>
      </c>
    </row>
    <row r="36" spans="1:18" ht="13.5" customHeight="1">
      <c r="A36" s="26">
        <v>24</v>
      </c>
      <c r="B36" s="26" t="s">
        <v>14</v>
      </c>
      <c r="C36" s="31">
        <v>10</v>
      </c>
      <c r="D36" s="26">
        <v>198</v>
      </c>
      <c r="E36" s="47">
        <f t="shared" si="0"/>
        <v>149</v>
      </c>
      <c r="F36" s="43">
        <v>1</v>
      </c>
      <c r="G36" s="43">
        <f t="shared" si="1"/>
        <v>0.75</v>
      </c>
      <c r="H36" s="42">
        <v>0.25</v>
      </c>
      <c r="I36" s="32"/>
      <c r="J36" s="30"/>
      <c r="K36" s="30"/>
      <c r="L36" s="30"/>
      <c r="M36" s="30"/>
      <c r="N36" s="30">
        <v>0</v>
      </c>
      <c r="O36" s="30">
        <v>0</v>
      </c>
      <c r="Q36" s="79">
        <f t="shared" si="2"/>
        <v>0</v>
      </c>
      <c r="R36" s="48">
        <f t="shared" si="3"/>
        <v>0</v>
      </c>
    </row>
    <row r="37" spans="1:18" ht="13.5" customHeight="1">
      <c r="A37" s="26">
        <v>25</v>
      </c>
      <c r="B37" s="26" t="s">
        <v>73</v>
      </c>
      <c r="C37" s="31">
        <v>10</v>
      </c>
      <c r="D37" s="26">
        <v>198</v>
      </c>
      <c r="E37" s="47">
        <f t="shared" si="0"/>
        <v>149</v>
      </c>
      <c r="F37" s="43">
        <v>1</v>
      </c>
      <c r="G37" s="43">
        <f t="shared" si="1"/>
        <v>0.75</v>
      </c>
      <c r="H37" s="42">
        <v>0.25</v>
      </c>
      <c r="I37" s="32"/>
      <c r="J37" s="30"/>
      <c r="K37" s="30"/>
      <c r="L37" s="30"/>
      <c r="M37" s="30"/>
      <c r="N37" s="30">
        <v>0</v>
      </c>
      <c r="O37" s="30">
        <v>0</v>
      </c>
      <c r="Q37" s="79">
        <f t="shared" si="2"/>
        <v>0</v>
      </c>
      <c r="R37" s="48">
        <f t="shared" si="3"/>
        <v>0</v>
      </c>
    </row>
    <row r="38" spans="1:18" ht="13.5" customHeight="1">
      <c r="A38" s="26">
        <v>26</v>
      </c>
      <c r="B38" s="26" t="s">
        <v>15</v>
      </c>
      <c r="C38" s="31">
        <v>5</v>
      </c>
      <c r="D38" s="26">
        <v>148</v>
      </c>
      <c r="E38" s="47">
        <f t="shared" si="0"/>
        <v>111</v>
      </c>
      <c r="F38" s="43">
        <v>1</v>
      </c>
      <c r="G38" s="43">
        <f t="shared" si="1"/>
        <v>0.75</v>
      </c>
      <c r="H38" s="42">
        <v>0.25</v>
      </c>
      <c r="I38" s="32"/>
      <c r="J38" s="30"/>
      <c r="K38" s="30"/>
      <c r="L38" s="30"/>
      <c r="M38" s="30"/>
      <c r="N38" s="30">
        <v>0</v>
      </c>
      <c r="O38" s="30">
        <v>0</v>
      </c>
      <c r="Q38" s="79">
        <f t="shared" si="2"/>
        <v>0</v>
      </c>
      <c r="R38" s="48">
        <f t="shared" si="3"/>
        <v>0</v>
      </c>
    </row>
    <row r="39" spans="1:18" ht="13.5" customHeight="1">
      <c r="A39" s="26">
        <v>27</v>
      </c>
      <c r="B39" s="26" t="s">
        <v>16</v>
      </c>
      <c r="C39" s="31">
        <v>5</v>
      </c>
      <c r="D39" s="26">
        <v>148</v>
      </c>
      <c r="E39" s="47">
        <f t="shared" si="0"/>
        <v>111</v>
      </c>
      <c r="F39" s="43">
        <v>1</v>
      </c>
      <c r="G39" s="43">
        <f t="shared" si="1"/>
        <v>0.75</v>
      </c>
      <c r="H39" s="42">
        <v>0.25</v>
      </c>
      <c r="I39" s="32"/>
      <c r="J39" s="30"/>
      <c r="K39" s="30"/>
      <c r="L39" s="30"/>
      <c r="M39" s="30"/>
      <c r="N39" s="30">
        <v>0</v>
      </c>
      <c r="O39" s="30">
        <v>0</v>
      </c>
      <c r="Q39" s="79">
        <f t="shared" si="2"/>
        <v>0</v>
      </c>
      <c r="R39" s="48">
        <f t="shared" si="3"/>
        <v>0</v>
      </c>
    </row>
    <row r="40" spans="1:18" ht="13.5" customHeight="1">
      <c r="A40" s="26">
        <v>28</v>
      </c>
      <c r="B40" s="26" t="s">
        <v>17</v>
      </c>
      <c r="C40" s="31">
        <v>4</v>
      </c>
      <c r="D40" s="26">
        <v>178</v>
      </c>
      <c r="E40" s="47">
        <f t="shared" si="0"/>
        <v>134</v>
      </c>
      <c r="F40" s="43">
        <v>1</v>
      </c>
      <c r="G40" s="43">
        <f t="shared" si="1"/>
        <v>0.75</v>
      </c>
      <c r="H40" s="42">
        <v>0.25</v>
      </c>
      <c r="I40" s="32"/>
      <c r="J40" s="30"/>
      <c r="K40" s="30"/>
      <c r="L40" s="30"/>
      <c r="M40" s="30"/>
      <c r="N40" s="30">
        <v>0</v>
      </c>
      <c r="O40" s="30">
        <v>0</v>
      </c>
      <c r="Q40" s="79">
        <f t="shared" si="2"/>
        <v>0</v>
      </c>
      <c r="R40" s="48">
        <f t="shared" si="3"/>
        <v>0</v>
      </c>
    </row>
    <row r="41" spans="1:18" ht="13.5" customHeight="1">
      <c r="A41" s="26">
        <v>29</v>
      </c>
      <c r="B41" s="26" t="s">
        <v>18</v>
      </c>
      <c r="C41" s="31">
        <v>5</v>
      </c>
      <c r="D41" s="26">
        <v>168</v>
      </c>
      <c r="E41" s="47">
        <f t="shared" si="0"/>
        <v>126</v>
      </c>
      <c r="F41" s="43">
        <v>1</v>
      </c>
      <c r="G41" s="43">
        <f t="shared" si="1"/>
        <v>0.75</v>
      </c>
      <c r="H41" s="42">
        <v>0.25</v>
      </c>
      <c r="I41" s="32"/>
      <c r="J41" s="30"/>
      <c r="K41" s="30"/>
      <c r="L41" s="30"/>
      <c r="M41" s="30"/>
      <c r="N41" s="30">
        <v>0</v>
      </c>
      <c r="O41" s="30">
        <v>0</v>
      </c>
      <c r="Q41" s="79">
        <f t="shared" si="2"/>
        <v>0</v>
      </c>
      <c r="R41" s="48">
        <f t="shared" si="3"/>
        <v>0</v>
      </c>
    </row>
    <row r="42" spans="1:18" ht="13.5" customHeight="1">
      <c r="A42" s="26">
        <v>30</v>
      </c>
      <c r="B42" s="26" t="s">
        <v>19</v>
      </c>
      <c r="C42" s="31">
        <v>5</v>
      </c>
      <c r="D42" s="26">
        <v>168</v>
      </c>
      <c r="E42" s="47">
        <f t="shared" si="0"/>
        <v>126</v>
      </c>
      <c r="F42" s="43">
        <v>1</v>
      </c>
      <c r="G42" s="43">
        <f t="shared" si="1"/>
        <v>0.75</v>
      </c>
      <c r="H42" s="42">
        <v>0.25</v>
      </c>
      <c r="I42" s="32"/>
      <c r="J42" s="30"/>
      <c r="K42" s="30"/>
      <c r="L42" s="30"/>
      <c r="M42" s="30"/>
      <c r="N42" s="30">
        <v>0</v>
      </c>
      <c r="O42" s="30">
        <v>0</v>
      </c>
      <c r="Q42" s="79">
        <f t="shared" si="2"/>
        <v>0</v>
      </c>
      <c r="R42" s="48">
        <f t="shared" si="3"/>
        <v>0</v>
      </c>
    </row>
    <row r="43" spans="1:18" ht="13.5" customHeight="1">
      <c r="A43" s="26">
        <v>31</v>
      </c>
      <c r="B43" s="26" t="s">
        <v>20</v>
      </c>
      <c r="C43" s="31">
        <v>5</v>
      </c>
      <c r="D43" s="26">
        <v>108</v>
      </c>
      <c r="E43" s="47">
        <f t="shared" si="0"/>
        <v>81</v>
      </c>
      <c r="F43" s="43">
        <v>1</v>
      </c>
      <c r="G43" s="43">
        <f t="shared" si="1"/>
        <v>0.75</v>
      </c>
      <c r="H43" s="42">
        <v>0.25</v>
      </c>
      <c r="I43" s="32">
        <v>3</v>
      </c>
      <c r="J43" s="30"/>
      <c r="K43" s="30"/>
      <c r="L43" s="30"/>
      <c r="M43" s="30"/>
      <c r="N43" s="30">
        <v>0</v>
      </c>
      <c r="O43" s="30">
        <v>0</v>
      </c>
      <c r="Q43" s="79">
        <f t="shared" si="2"/>
        <v>3</v>
      </c>
      <c r="R43" s="48">
        <f t="shared" si="3"/>
        <v>243</v>
      </c>
    </row>
    <row r="44" spans="1:18" ht="13.5" customHeight="1">
      <c r="A44" s="26">
        <v>32</v>
      </c>
      <c r="B44" s="26" t="s">
        <v>94</v>
      </c>
      <c r="C44" s="31">
        <v>5</v>
      </c>
      <c r="D44" s="26">
        <v>98</v>
      </c>
      <c r="E44" s="47">
        <f t="shared" si="0"/>
        <v>74</v>
      </c>
      <c r="F44" s="43">
        <v>1</v>
      </c>
      <c r="G44" s="43">
        <f t="shared" si="1"/>
        <v>0.75</v>
      </c>
      <c r="H44" s="42">
        <v>0.25</v>
      </c>
      <c r="I44" s="32">
        <v>5</v>
      </c>
      <c r="J44" s="30"/>
      <c r="K44" s="30"/>
      <c r="L44" s="30"/>
      <c r="M44" s="30"/>
      <c r="N44" s="30">
        <v>0</v>
      </c>
      <c r="O44" s="30">
        <v>0</v>
      </c>
      <c r="Q44" s="79">
        <f t="shared" si="2"/>
        <v>5</v>
      </c>
      <c r="R44" s="48">
        <f t="shared" si="3"/>
        <v>370</v>
      </c>
    </row>
    <row r="45" spans="1:18" ht="13.5" customHeight="1">
      <c r="A45" s="26">
        <v>33</v>
      </c>
      <c r="B45" s="26" t="s">
        <v>59</v>
      </c>
      <c r="C45" s="31">
        <v>15</v>
      </c>
      <c r="D45" s="26">
        <v>128</v>
      </c>
      <c r="E45" s="47">
        <f t="shared" si="0"/>
        <v>96</v>
      </c>
      <c r="F45" s="43">
        <v>1</v>
      </c>
      <c r="G45" s="43">
        <f t="shared" si="1"/>
        <v>0.75</v>
      </c>
      <c r="H45" s="42">
        <v>0.25</v>
      </c>
      <c r="I45" s="32"/>
      <c r="J45" s="30"/>
      <c r="K45" s="30"/>
      <c r="L45" s="30"/>
      <c r="M45" s="30"/>
      <c r="N45" s="30">
        <v>0</v>
      </c>
      <c r="O45" s="30">
        <v>0</v>
      </c>
      <c r="Q45" s="79">
        <f t="shared" si="2"/>
        <v>0</v>
      </c>
      <c r="R45" s="48">
        <f t="shared" si="3"/>
        <v>0</v>
      </c>
    </row>
    <row r="46" spans="1:18" ht="13.5" customHeight="1">
      <c r="A46" s="26">
        <v>34</v>
      </c>
      <c r="B46" s="81" t="s">
        <v>82</v>
      </c>
      <c r="C46" s="31">
        <v>5</v>
      </c>
      <c r="D46" s="26">
        <v>168</v>
      </c>
      <c r="E46" s="47">
        <f t="shared" si="0"/>
        <v>126</v>
      </c>
      <c r="F46" s="43">
        <v>1</v>
      </c>
      <c r="G46" s="43">
        <f t="shared" si="1"/>
        <v>0.75</v>
      </c>
      <c r="H46" s="42">
        <v>0.25</v>
      </c>
      <c r="I46" s="32"/>
      <c r="J46" s="30"/>
      <c r="K46" s="30"/>
      <c r="L46" s="30"/>
      <c r="M46" s="30"/>
      <c r="N46" s="30">
        <v>0</v>
      </c>
      <c r="O46" s="30">
        <v>0</v>
      </c>
      <c r="Q46" s="79">
        <f t="shared" si="2"/>
        <v>0</v>
      </c>
      <c r="R46" s="48">
        <f t="shared" si="3"/>
        <v>0</v>
      </c>
    </row>
    <row r="47" spans="1:18" ht="13.5" customHeight="1">
      <c r="A47" s="26">
        <v>35</v>
      </c>
      <c r="B47" s="26" t="s">
        <v>68</v>
      </c>
      <c r="C47" s="31">
        <v>5</v>
      </c>
      <c r="D47" s="26">
        <v>198</v>
      </c>
      <c r="E47" s="47">
        <f t="shared" si="0"/>
        <v>149</v>
      </c>
      <c r="F47" s="43">
        <v>1</v>
      </c>
      <c r="G47" s="43">
        <f t="shared" si="1"/>
        <v>0.75</v>
      </c>
      <c r="H47" s="42">
        <v>0.25</v>
      </c>
      <c r="I47" s="32"/>
      <c r="J47" s="30"/>
      <c r="K47" s="30"/>
      <c r="L47" s="30"/>
      <c r="M47" s="30"/>
      <c r="N47" s="30">
        <v>0</v>
      </c>
      <c r="O47" s="30">
        <v>0</v>
      </c>
      <c r="Q47" s="79">
        <f t="shared" si="2"/>
        <v>0</v>
      </c>
      <c r="R47" s="48">
        <f t="shared" si="3"/>
        <v>0</v>
      </c>
    </row>
    <row r="48" spans="1:18" ht="13.5" customHeight="1">
      <c r="A48" s="26">
        <v>36</v>
      </c>
      <c r="B48" s="26" t="s">
        <v>21</v>
      </c>
      <c r="C48" s="31">
        <v>4</v>
      </c>
      <c r="D48" s="26">
        <v>138</v>
      </c>
      <c r="E48" s="47">
        <f t="shared" si="0"/>
        <v>104</v>
      </c>
      <c r="F48" s="43">
        <v>1</v>
      </c>
      <c r="G48" s="43">
        <f t="shared" si="1"/>
        <v>0.75</v>
      </c>
      <c r="H48" s="42">
        <v>0.25</v>
      </c>
      <c r="I48" s="32"/>
      <c r="J48" s="30"/>
      <c r="K48" s="30"/>
      <c r="L48" s="30"/>
      <c r="M48" s="30"/>
      <c r="N48" s="30">
        <v>0</v>
      </c>
      <c r="O48" s="30">
        <v>0</v>
      </c>
      <c r="Q48" s="79">
        <f t="shared" si="2"/>
        <v>0</v>
      </c>
      <c r="R48" s="48">
        <f t="shared" si="3"/>
        <v>0</v>
      </c>
    </row>
    <row r="49" spans="1:18" ht="13.5" customHeight="1">
      <c r="A49" s="26">
        <v>37</v>
      </c>
      <c r="B49" s="34" t="s">
        <v>22</v>
      </c>
      <c r="C49" s="31">
        <v>5</v>
      </c>
      <c r="D49" s="26">
        <v>538</v>
      </c>
      <c r="E49" s="47">
        <f t="shared" si="0"/>
        <v>404</v>
      </c>
      <c r="F49" s="43">
        <v>1</v>
      </c>
      <c r="G49" s="43">
        <f t="shared" si="1"/>
        <v>0.75</v>
      </c>
      <c r="H49" s="42">
        <v>0.25</v>
      </c>
      <c r="I49" s="32"/>
      <c r="J49" s="30"/>
      <c r="K49" s="30"/>
      <c r="L49" s="30"/>
      <c r="M49" s="30"/>
      <c r="N49" s="30">
        <v>0</v>
      </c>
      <c r="O49" s="30">
        <v>0</v>
      </c>
      <c r="Q49" s="79">
        <f t="shared" si="2"/>
        <v>0</v>
      </c>
      <c r="R49" s="48">
        <f t="shared" si="3"/>
        <v>0</v>
      </c>
    </row>
    <row r="50" spans="1:18" ht="13.5" customHeight="1">
      <c r="A50" s="26">
        <v>38</v>
      </c>
      <c r="B50" s="26" t="s">
        <v>87</v>
      </c>
      <c r="C50" s="31">
        <v>7</v>
      </c>
      <c r="D50" s="26">
        <v>128</v>
      </c>
      <c r="E50" s="47">
        <f t="shared" si="0"/>
        <v>96</v>
      </c>
      <c r="F50" s="43">
        <v>1</v>
      </c>
      <c r="G50" s="43">
        <f t="shared" si="1"/>
        <v>0.75</v>
      </c>
      <c r="H50" s="42">
        <v>0.25</v>
      </c>
      <c r="I50" s="32">
        <v>10</v>
      </c>
      <c r="J50" s="30"/>
      <c r="K50" s="30"/>
      <c r="L50" s="30"/>
      <c r="M50" s="30"/>
      <c r="N50" s="30">
        <v>0</v>
      </c>
      <c r="O50" s="30">
        <v>0</v>
      </c>
      <c r="Q50" s="79">
        <f t="shared" si="2"/>
        <v>10</v>
      </c>
      <c r="R50" s="48">
        <f t="shared" si="3"/>
        <v>960</v>
      </c>
    </row>
    <row r="51" spans="1:18" ht="13.5" customHeight="1">
      <c r="A51" s="26">
        <v>39</v>
      </c>
      <c r="B51" s="26" t="s">
        <v>60</v>
      </c>
      <c r="C51" s="31">
        <v>7</v>
      </c>
      <c r="D51" s="26">
        <v>398</v>
      </c>
      <c r="E51" s="47">
        <f t="shared" si="0"/>
        <v>299</v>
      </c>
      <c r="F51" s="43">
        <v>1</v>
      </c>
      <c r="G51" s="43">
        <f t="shared" si="1"/>
        <v>0.75</v>
      </c>
      <c r="H51" s="42">
        <v>0.25</v>
      </c>
      <c r="I51" s="32"/>
      <c r="J51" s="30"/>
      <c r="K51" s="30"/>
      <c r="L51" s="30"/>
      <c r="M51" s="30"/>
      <c r="N51" s="30">
        <v>0</v>
      </c>
      <c r="O51" s="30">
        <v>0</v>
      </c>
      <c r="Q51" s="79">
        <f t="shared" si="2"/>
        <v>0</v>
      </c>
      <c r="R51" s="48">
        <f t="shared" si="3"/>
        <v>0</v>
      </c>
    </row>
    <row r="52" spans="1:18" ht="13.5" customHeight="1">
      <c r="A52" s="26">
        <v>40</v>
      </c>
      <c r="B52" s="26" t="s">
        <v>95</v>
      </c>
      <c r="C52" s="31">
        <v>5</v>
      </c>
      <c r="D52" s="26">
        <v>328</v>
      </c>
      <c r="E52" s="47">
        <f t="shared" si="0"/>
        <v>246</v>
      </c>
      <c r="F52" s="43">
        <v>1</v>
      </c>
      <c r="G52" s="43">
        <f t="shared" si="1"/>
        <v>0.75</v>
      </c>
      <c r="H52" s="42">
        <v>0.25</v>
      </c>
      <c r="I52" s="32">
        <v>5</v>
      </c>
      <c r="J52" s="30"/>
      <c r="K52" s="30"/>
      <c r="L52" s="30"/>
      <c r="M52" s="30"/>
      <c r="N52" s="30">
        <v>0</v>
      </c>
      <c r="O52" s="30">
        <v>0</v>
      </c>
      <c r="Q52" s="79">
        <f t="shared" si="2"/>
        <v>5</v>
      </c>
      <c r="R52" s="48">
        <f t="shared" si="3"/>
        <v>1230</v>
      </c>
    </row>
    <row r="53" spans="1:18" ht="13.5" customHeight="1">
      <c r="A53" s="26">
        <v>41</v>
      </c>
      <c r="B53" s="26" t="s">
        <v>72</v>
      </c>
      <c r="C53" s="31">
        <v>5</v>
      </c>
      <c r="D53" s="26">
        <v>108</v>
      </c>
      <c r="E53" s="47">
        <f t="shared" si="0"/>
        <v>81</v>
      </c>
      <c r="F53" s="43">
        <v>1</v>
      </c>
      <c r="G53" s="43">
        <f t="shared" si="1"/>
        <v>0.75</v>
      </c>
      <c r="H53" s="42">
        <v>0.25</v>
      </c>
      <c r="I53" s="32"/>
      <c r="J53" s="30"/>
      <c r="K53" s="30"/>
      <c r="L53" s="30"/>
      <c r="M53" s="30"/>
      <c r="N53" s="30">
        <v>0</v>
      </c>
      <c r="O53" s="30">
        <v>0</v>
      </c>
      <c r="Q53" s="79">
        <f t="shared" si="2"/>
        <v>0</v>
      </c>
      <c r="R53" s="48">
        <f t="shared" si="3"/>
        <v>0</v>
      </c>
    </row>
    <row r="54" spans="1:18" ht="13.5" customHeight="1">
      <c r="A54" s="26">
        <v>42</v>
      </c>
      <c r="B54" s="26" t="s">
        <v>92</v>
      </c>
      <c r="C54" s="31">
        <v>3</v>
      </c>
      <c r="D54" s="26">
        <v>1280</v>
      </c>
      <c r="E54" s="47">
        <f t="shared" si="0"/>
        <v>960</v>
      </c>
      <c r="F54" s="43">
        <v>1</v>
      </c>
      <c r="G54" s="43">
        <f t="shared" si="1"/>
        <v>0.75</v>
      </c>
      <c r="H54" s="42">
        <v>0.25</v>
      </c>
      <c r="I54" s="32">
        <v>4</v>
      </c>
      <c r="J54" s="32"/>
      <c r="K54" s="32"/>
      <c r="L54" s="32"/>
      <c r="M54" s="32"/>
      <c r="N54" s="32">
        <v>0</v>
      </c>
      <c r="O54" s="32">
        <v>0</v>
      </c>
      <c r="Q54" s="79">
        <f t="shared" si="2"/>
        <v>4</v>
      </c>
      <c r="R54" s="48">
        <f t="shared" si="3"/>
        <v>3840</v>
      </c>
    </row>
    <row r="55" spans="1:18" ht="13.5" customHeight="1">
      <c r="A55" s="26">
        <v>43</v>
      </c>
      <c r="B55" s="26" t="s">
        <v>47</v>
      </c>
      <c r="C55" s="31">
        <v>30</v>
      </c>
      <c r="D55" s="26">
        <v>418</v>
      </c>
      <c r="E55" s="47">
        <f t="shared" si="0"/>
        <v>314</v>
      </c>
      <c r="F55" s="43">
        <v>1</v>
      </c>
      <c r="G55" s="43">
        <f t="shared" si="1"/>
        <v>0.75</v>
      </c>
      <c r="H55" s="42">
        <v>0.25</v>
      </c>
      <c r="I55" s="32"/>
      <c r="J55" s="32"/>
      <c r="K55" s="32"/>
      <c r="L55" s="32"/>
      <c r="M55" s="32"/>
      <c r="N55" s="32"/>
      <c r="O55" s="32"/>
      <c r="Q55" s="79">
        <f t="shared" si="2"/>
        <v>0</v>
      </c>
      <c r="R55" s="48">
        <f t="shared" si="3"/>
        <v>0</v>
      </c>
    </row>
    <row r="56" spans="1:18" ht="13.5" customHeight="1">
      <c r="A56" s="26">
        <v>44</v>
      </c>
      <c r="B56" s="26" t="s">
        <v>90</v>
      </c>
      <c r="C56" s="31">
        <v>3</v>
      </c>
      <c r="D56" s="26">
        <v>398</v>
      </c>
      <c r="E56" s="47">
        <f t="shared" ref="E56:E61" si="4">ROUNDUP(D56*G56,0)</f>
        <v>299</v>
      </c>
      <c r="F56" s="43">
        <v>1</v>
      </c>
      <c r="G56" s="43">
        <f t="shared" si="1"/>
        <v>0.75</v>
      </c>
      <c r="H56" s="42">
        <v>0.25</v>
      </c>
      <c r="I56" s="32"/>
      <c r="J56" s="32"/>
      <c r="K56" s="32"/>
      <c r="L56" s="32"/>
      <c r="M56" s="32"/>
      <c r="N56" s="32"/>
      <c r="O56" s="32"/>
      <c r="Q56" s="79">
        <f t="shared" si="2"/>
        <v>0</v>
      </c>
      <c r="R56" s="48">
        <f t="shared" si="3"/>
        <v>0</v>
      </c>
    </row>
    <row r="57" spans="1:18" ht="13.5" customHeight="1">
      <c r="A57" s="26">
        <v>45</v>
      </c>
      <c r="B57" s="26" t="s">
        <v>88</v>
      </c>
      <c r="C57" s="31">
        <v>3</v>
      </c>
      <c r="D57" s="26">
        <v>200</v>
      </c>
      <c r="E57" s="47">
        <f t="shared" si="4"/>
        <v>150</v>
      </c>
      <c r="F57" s="43">
        <v>1</v>
      </c>
      <c r="G57" s="43">
        <f t="shared" si="1"/>
        <v>0.75</v>
      </c>
      <c r="H57" s="42">
        <v>0.25</v>
      </c>
      <c r="I57" s="32">
        <v>18</v>
      </c>
      <c r="J57" s="32"/>
      <c r="K57" s="32"/>
      <c r="L57" s="32"/>
      <c r="M57" s="32"/>
      <c r="N57" s="32"/>
      <c r="O57" s="32"/>
      <c r="Q57" s="79">
        <f t="shared" si="2"/>
        <v>18</v>
      </c>
      <c r="R57" s="48">
        <f t="shared" si="3"/>
        <v>2700</v>
      </c>
    </row>
    <row r="58" spans="1:18" ht="13.5" customHeight="1">
      <c r="A58" s="26">
        <v>46</v>
      </c>
      <c r="B58" s="26" t="s">
        <v>93</v>
      </c>
      <c r="C58" s="31">
        <v>3</v>
      </c>
      <c r="D58" s="26">
        <v>398</v>
      </c>
      <c r="E58" s="47">
        <f t="shared" si="4"/>
        <v>299</v>
      </c>
      <c r="F58" s="43">
        <v>1</v>
      </c>
      <c r="G58" s="43">
        <f t="shared" si="1"/>
        <v>0.75</v>
      </c>
      <c r="H58" s="42">
        <v>0.25</v>
      </c>
      <c r="I58" s="32">
        <v>4</v>
      </c>
      <c r="J58" s="32"/>
      <c r="K58" s="32"/>
      <c r="L58" s="32"/>
      <c r="M58" s="32"/>
      <c r="N58" s="32"/>
      <c r="O58" s="32"/>
      <c r="Q58" s="79">
        <f t="shared" si="2"/>
        <v>4</v>
      </c>
      <c r="R58" s="48">
        <f t="shared" si="3"/>
        <v>1196</v>
      </c>
    </row>
    <row r="59" spans="1:18" ht="13.5" customHeight="1">
      <c r="A59" s="26">
        <v>47</v>
      </c>
      <c r="B59" s="26" t="s">
        <v>80</v>
      </c>
      <c r="C59" s="31" t="s">
        <v>65</v>
      </c>
      <c r="D59" s="26">
        <v>178</v>
      </c>
      <c r="E59" s="47">
        <f t="shared" si="4"/>
        <v>134</v>
      </c>
      <c r="F59" s="43">
        <v>1</v>
      </c>
      <c r="G59" s="43">
        <f t="shared" si="1"/>
        <v>0.75</v>
      </c>
      <c r="H59" s="42">
        <v>0.25</v>
      </c>
      <c r="I59" s="32"/>
      <c r="J59" s="32"/>
      <c r="K59" s="32"/>
      <c r="L59" s="32"/>
      <c r="M59" s="32"/>
      <c r="N59" s="32"/>
      <c r="O59" s="32"/>
      <c r="Q59" s="79">
        <f t="shared" si="2"/>
        <v>0</v>
      </c>
      <c r="R59" s="48">
        <f t="shared" si="3"/>
        <v>0</v>
      </c>
    </row>
    <row r="60" spans="1:18" ht="13.5" customHeight="1">
      <c r="A60" s="26">
        <v>48</v>
      </c>
      <c r="B60" s="26" t="s">
        <v>64</v>
      </c>
      <c r="C60" s="31" t="s">
        <v>65</v>
      </c>
      <c r="D60" s="26">
        <v>178</v>
      </c>
      <c r="E60" s="47">
        <f t="shared" si="4"/>
        <v>134</v>
      </c>
      <c r="F60" s="43">
        <v>1</v>
      </c>
      <c r="G60" s="43">
        <f>F60-H60</f>
        <v>0.75</v>
      </c>
      <c r="H60" s="42">
        <v>0.25</v>
      </c>
      <c r="I60" s="32"/>
      <c r="J60" s="32"/>
      <c r="K60" s="32"/>
      <c r="L60" s="32"/>
      <c r="M60" s="32"/>
      <c r="N60" s="32"/>
      <c r="O60" s="32"/>
      <c r="Q60" s="79">
        <f t="shared" si="2"/>
        <v>0</v>
      </c>
      <c r="R60" s="48">
        <f t="shared" si="3"/>
        <v>0</v>
      </c>
    </row>
    <row r="61" spans="1:18" ht="13.5" customHeight="1">
      <c r="A61" s="26">
        <v>49</v>
      </c>
      <c r="B61" s="26" t="s">
        <v>83</v>
      </c>
      <c r="C61" s="31" t="s">
        <v>84</v>
      </c>
      <c r="D61" s="26">
        <v>580</v>
      </c>
      <c r="E61" s="47">
        <f t="shared" si="4"/>
        <v>435</v>
      </c>
      <c r="F61" s="43">
        <v>1</v>
      </c>
      <c r="G61" s="43">
        <f>F61-H61</f>
        <v>0.75</v>
      </c>
      <c r="H61" s="42">
        <v>0.25</v>
      </c>
      <c r="I61" s="32"/>
      <c r="J61" s="32"/>
      <c r="K61" s="32"/>
      <c r="L61" s="32"/>
      <c r="M61" s="32"/>
      <c r="N61" s="32"/>
      <c r="O61" s="32"/>
      <c r="Q61" s="79">
        <f t="shared" si="2"/>
        <v>0</v>
      </c>
      <c r="R61" s="48">
        <f t="shared" si="3"/>
        <v>0</v>
      </c>
    </row>
    <row r="62" spans="1:18" ht="13.5" customHeight="1">
      <c r="A62" s="26">
        <v>50</v>
      </c>
      <c r="B62" s="26" t="s">
        <v>78</v>
      </c>
      <c r="C62" s="31"/>
      <c r="D62" s="26">
        <v>498</v>
      </c>
      <c r="E62" s="47">
        <f t="shared" si="0"/>
        <v>374</v>
      </c>
      <c r="F62" s="43">
        <v>1</v>
      </c>
      <c r="G62" s="43">
        <f t="shared" si="1"/>
        <v>0.75</v>
      </c>
      <c r="H62" s="42">
        <v>0.25</v>
      </c>
      <c r="I62" s="32"/>
      <c r="J62" s="32"/>
      <c r="K62" s="32"/>
      <c r="L62" s="32"/>
      <c r="M62" s="32"/>
      <c r="N62" s="32"/>
      <c r="O62" s="32"/>
      <c r="Q62" s="79">
        <f t="shared" si="2"/>
        <v>0</v>
      </c>
      <c r="R62" s="48">
        <f t="shared" si="3"/>
        <v>0</v>
      </c>
    </row>
    <row r="63" spans="1:18" ht="13.5" customHeight="1">
      <c r="A63" s="26">
        <v>51</v>
      </c>
      <c r="B63" s="26" t="s">
        <v>71</v>
      </c>
      <c r="C63" s="31"/>
      <c r="D63" s="26">
        <v>498</v>
      </c>
      <c r="E63" s="47">
        <f t="shared" si="0"/>
        <v>374</v>
      </c>
      <c r="F63" s="43">
        <v>1</v>
      </c>
      <c r="G63" s="43">
        <f t="shared" ref="G63:G68" si="5">F63-H63</f>
        <v>0.75</v>
      </c>
      <c r="H63" s="42">
        <v>0.25</v>
      </c>
      <c r="I63" s="32"/>
      <c r="J63" s="32"/>
      <c r="K63" s="32"/>
      <c r="L63" s="32"/>
      <c r="M63" s="32"/>
      <c r="N63" s="32"/>
      <c r="O63" s="32"/>
      <c r="Q63" s="79">
        <f t="shared" ref="Q63:Q68" si="6">SUM(I63:P63)</f>
        <v>0</v>
      </c>
      <c r="R63" s="48">
        <f t="shared" ref="R63:R68" si="7">E63*Q63</f>
        <v>0</v>
      </c>
    </row>
    <row r="64" spans="1:18" ht="13.5" customHeight="1">
      <c r="A64" s="26">
        <v>52</v>
      </c>
      <c r="B64" s="26" t="s">
        <v>55</v>
      </c>
      <c r="C64" s="31" t="s">
        <v>32</v>
      </c>
      <c r="D64" s="26">
        <v>580</v>
      </c>
      <c r="E64" s="47">
        <f>ROUNDUP(D64*G64,0)</f>
        <v>522</v>
      </c>
      <c r="F64" s="43">
        <v>1</v>
      </c>
      <c r="G64" s="43">
        <f t="shared" si="5"/>
        <v>0.9</v>
      </c>
      <c r="H64" s="42">
        <v>0.1</v>
      </c>
      <c r="I64" s="32"/>
      <c r="J64" s="32"/>
      <c r="K64" s="32"/>
      <c r="L64" s="32"/>
      <c r="M64" s="32"/>
      <c r="N64" s="32"/>
      <c r="O64" s="32"/>
      <c r="Q64" s="79">
        <f t="shared" si="6"/>
        <v>0</v>
      </c>
      <c r="R64" s="48">
        <f t="shared" si="7"/>
        <v>0</v>
      </c>
    </row>
    <row r="65" spans="1:18" ht="13.5" customHeight="1">
      <c r="A65" s="26">
        <v>53</v>
      </c>
      <c r="B65" s="26" t="s">
        <v>55</v>
      </c>
      <c r="C65" s="31"/>
      <c r="D65" s="26"/>
      <c r="E65" s="47">
        <f>ROUNDUP(D65*G65,0)</f>
        <v>0</v>
      </c>
      <c r="F65" s="43">
        <v>1</v>
      </c>
      <c r="G65" s="43">
        <f t="shared" si="5"/>
        <v>0.75</v>
      </c>
      <c r="H65" s="42">
        <v>0.25</v>
      </c>
      <c r="I65" s="32"/>
      <c r="J65" s="32"/>
      <c r="K65" s="32"/>
      <c r="L65" s="32"/>
      <c r="M65" s="32"/>
      <c r="N65" s="32"/>
      <c r="O65" s="32"/>
      <c r="Q65" s="79">
        <f t="shared" si="6"/>
        <v>0</v>
      </c>
      <c r="R65" s="48">
        <f t="shared" si="7"/>
        <v>0</v>
      </c>
    </row>
    <row r="66" spans="1:18" ht="13.5" customHeight="1">
      <c r="A66" s="26">
        <v>54</v>
      </c>
      <c r="B66" s="26" t="s">
        <v>55</v>
      </c>
      <c r="C66" s="31" t="s">
        <v>33</v>
      </c>
      <c r="D66" s="26">
        <v>780</v>
      </c>
      <c r="E66" s="47">
        <f>ROUNDUP(D66*G66,0)</f>
        <v>702</v>
      </c>
      <c r="F66" s="43">
        <v>1</v>
      </c>
      <c r="G66" s="43">
        <f t="shared" si="5"/>
        <v>0.9</v>
      </c>
      <c r="H66" s="42">
        <v>0.1</v>
      </c>
      <c r="I66" s="32"/>
      <c r="J66" s="32"/>
      <c r="K66" s="32"/>
      <c r="L66" s="32"/>
      <c r="M66" s="32"/>
      <c r="N66" s="32"/>
      <c r="O66" s="32"/>
      <c r="Q66" s="79">
        <f t="shared" si="6"/>
        <v>0</v>
      </c>
      <c r="R66" s="48">
        <f t="shared" si="7"/>
        <v>0</v>
      </c>
    </row>
    <row r="67" spans="1:18" ht="13.5" customHeight="1">
      <c r="A67" s="26">
        <v>55</v>
      </c>
      <c r="B67" s="26" t="s">
        <v>55</v>
      </c>
      <c r="C67" s="31" t="s">
        <v>56</v>
      </c>
      <c r="D67" s="26">
        <v>1100</v>
      </c>
      <c r="E67" s="47">
        <f>ROUNDUP(D67*G67,0)</f>
        <v>990</v>
      </c>
      <c r="F67" s="43">
        <v>1</v>
      </c>
      <c r="G67" s="43">
        <f t="shared" si="5"/>
        <v>0.9</v>
      </c>
      <c r="H67" s="42">
        <v>0.1</v>
      </c>
      <c r="I67" s="32"/>
      <c r="J67" s="32"/>
      <c r="K67" s="32"/>
      <c r="L67" s="32"/>
      <c r="M67" s="32"/>
      <c r="N67" s="32"/>
      <c r="O67" s="32"/>
      <c r="Q67" s="79">
        <f t="shared" si="6"/>
        <v>0</v>
      </c>
      <c r="R67" s="48">
        <f t="shared" si="7"/>
        <v>0</v>
      </c>
    </row>
    <row r="68" spans="1:18" ht="13.5" customHeight="1">
      <c r="A68" s="26">
        <v>56</v>
      </c>
      <c r="B68" s="26" t="s">
        <v>58</v>
      </c>
      <c r="C68" s="31"/>
      <c r="D68" s="26">
        <v>218</v>
      </c>
      <c r="E68" s="47">
        <f>ROUNDUP(D68*G68,0)</f>
        <v>164</v>
      </c>
      <c r="F68" s="43">
        <v>1</v>
      </c>
      <c r="G68" s="43">
        <f t="shared" si="5"/>
        <v>0.75</v>
      </c>
      <c r="H68" s="42">
        <v>0.25</v>
      </c>
      <c r="I68" s="32"/>
      <c r="J68" s="32"/>
      <c r="K68" s="32"/>
      <c r="L68" s="32"/>
      <c r="M68" s="32"/>
      <c r="N68" s="32"/>
      <c r="O68" s="32"/>
      <c r="Q68" s="79">
        <f t="shared" si="6"/>
        <v>0</v>
      </c>
      <c r="R68" s="48">
        <f t="shared" si="7"/>
        <v>0</v>
      </c>
    </row>
    <row r="69" spans="1:18" ht="13.5" customHeight="1">
      <c r="A69" s="26">
        <v>57</v>
      </c>
      <c r="B69" s="26" t="s">
        <v>85</v>
      </c>
      <c r="C69" s="31"/>
      <c r="D69" s="26">
        <v>238</v>
      </c>
      <c r="E69" s="47">
        <f t="shared" si="0"/>
        <v>179</v>
      </c>
      <c r="F69" s="43">
        <v>1</v>
      </c>
      <c r="G69" s="43">
        <f t="shared" si="1"/>
        <v>0.75</v>
      </c>
      <c r="H69" s="42">
        <v>0.25</v>
      </c>
      <c r="I69" s="32"/>
      <c r="J69" s="32"/>
      <c r="K69" s="32"/>
      <c r="L69" s="32"/>
      <c r="M69" s="32"/>
      <c r="N69" s="32"/>
      <c r="O69" s="32"/>
      <c r="Q69" s="79">
        <f t="shared" si="2"/>
        <v>0</v>
      </c>
      <c r="R69" s="48">
        <f t="shared" si="3"/>
        <v>0</v>
      </c>
    </row>
    <row r="70" spans="1:18" ht="13.5" customHeight="1">
      <c r="A70" s="6">
        <v>58</v>
      </c>
      <c r="B70" s="6" t="s">
        <v>43</v>
      </c>
      <c r="C70" s="7"/>
      <c r="D70" s="6"/>
      <c r="E70" s="50">
        <v>550</v>
      </c>
      <c r="F70" s="50"/>
      <c r="G70" s="50"/>
      <c r="H70" s="51" t="str">
        <f>IF(ISERROR(1-E70/D70),"",(1-E70/D70))</f>
        <v/>
      </c>
      <c r="I70" s="52">
        <f>IF(SUM(I13:I69)&lt;&gt;0,550,0)</f>
        <v>550</v>
      </c>
      <c r="J70" s="52">
        <f t="shared" ref="J70:O70" si="8">IF(SUM(J13:J69)&lt;&gt;0,550,0)</f>
        <v>0</v>
      </c>
      <c r="K70" s="52">
        <f t="shared" si="8"/>
        <v>0</v>
      </c>
      <c r="L70" s="52">
        <f t="shared" si="8"/>
        <v>0</v>
      </c>
      <c r="M70" s="52">
        <f t="shared" si="8"/>
        <v>0</v>
      </c>
      <c r="N70" s="52">
        <f t="shared" si="8"/>
        <v>0</v>
      </c>
      <c r="O70" s="52">
        <f t="shared" si="8"/>
        <v>0</v>
      </c>
      <c r="P70" s="1"/>
      <c r="Q70" s="79">
        <f>COUNTIF(I70:O70,"&lt;&gt;0")</f>
        <v>1</v>
      </c>
      <c r="R70" s="48">
        <f t="shared" si="3"/>
        <v>550</v>
      </c>
    </row>
    <row r="71" spans="1:18" ht="14.25" customHeight="1">
      <c r="Q71" s="80"/>
      <c r="R71" s="49">
        <f>SUM(R13:R70)</f>
        <v>15841</v>
      </c>
    </row>
  </sheetData>
  <sheetProtection selectLockedCells="1"/>
  <mergeCells count="2">
    <mergeCell ref="B8:C8"/>
    <mergeCell ref="D8:H8"/>
  </mergeCells>
  <phoneticPr fontId="3"/>
  <pageMargins left="0.51181102362204722" right="0" top="0.15748031496062992" bottom="0.15748031496062992" header="0.31496062992125984" footer="0.31496062992125984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BD2-722D-4F1F-95BC-CA982854E6A7}">
  <sheetPr codeName="Sheet2" filterMode="1">
    <tabColor rgb="FFFFFFCC"/>
    <pageSetUpPr fitToPage="1"/>
  </sheetPr>
  <dimension ref="A1:L74"/>
  <sheetViews>
    <sheetView tabSelected="1" workbookViewId="0">
      <selection activeCell="C3" sqref="C3"/>
    </sheetView>
  </sheetViews>
  <sheetFormatPr defaultColWidth="8.75" defaultRowHeight="18.75"/>
  <cols>
    <col min="1" max="1" width="3.125" style="1" customWidth="1"/>
    <col min="2" max="2" width="22.375" style="1" customWidth="1"/>
    <col min="3" max="3" width="6.375" style="1" customWidth="1"/>
    <col min="4" max="4" width="7" style="1" customWidth="1"/>
    <col min="5" max="5" width="6.625" style="1" customWidth="1"/>
    <col min="6" max="6" width="7.875" style="1" customWidth="1"/>
    <col min="7" max="7" width="8.375" style="1" customWidth="1"/>
    <col min="8" max="8" width="0.875" style="1" customWidth="1"/>
    <col min="9" max="16384" width="8.75" style="1"/>
  </cols>
  <sheetData>
    <row r="1" spans="1:12" ht="13.9" customHeight="1">
      <c r="G1" s="13" t="s">
        <v>23</v>
      </c>
    </row>
    <row r="2" spans="1:12" customFormat="1" ht="24" customHeight="1" thickBot="1">
      <c r="B2" s="76" t="s">
        <v>38</v>
      </c>
      <c r="C2" s="87">
        <f>'入力　発注書'!D8</f>
        <v>46231</v>
      </c>
      <c r="D2" s="87"/>
      <c r="E2" s="87"/>
      <c r="F2" s="1"/>
    </row>
    <row r="3" spans="1:12" ht="9.6" customHeight="1" thickTop="1">
      <c r="C3" s="1" t="s">
        <v>74</v>
      </c>
    </row>
    <row r="4" spans="1:12" ht="14.45" customHeight="1">
      <c r="D4" s="98" t="s">
        <v>24</v>
      </c>
      <c r="E4" s="98"/>
      <c r="F4" s="98"/>
      <c r="G4" s="98"/>
    </row>
    <row r="5" spans="1:12" ht="14.25" customHeight="1">
      <c r="D5" s="99" t="s">
        <v>25</v>
      </c>
      <c r="E5" s="99"/>
      <c r="F5" s="99"/>
      <c r="G5" s="99"/>
    </row>
    <row r="6" spans="1:12" ht="13.5" customHeight="1">
      <c r="E6" s="108" t="s">
        <v>27</v>
      </c>
      <c r="F6" s="109"/>
      <c r="G6" s="109"/>
    </row>
    <row r="7" spans="1:12" ht="13.5" customHeight="1">
      <c r="B7" s="2"/>
      <c r="C7" s="2"/>
      <c r="D7" s="8"/>
      <c r="E7" s="109" t="s">
        <v>28</v>
      </c>
      <c r="F7" s="109"/>
      <c r="G7" s="109"/>
      <c r="K7" s="4"/>
      <c r="L7" s="4"/>
    </row>
    <row r="8" spans="1:12" s="3" customFormat="1" ht="24.6" customHeight="1" thickBot="1">
      <c r="B8" s="77" t="s">
        <v>0</v>
      </c>
      <c r="C8" s="86" t="s">
        <v>63</v>
      </c>
      <c r="D8" s="86"/>
      <c r="E8" s="86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52</v>
      </c>
      <c r="C11" s="88">
        <f>G72+G73</f>
        <v>15841</v>
      </c>
      <c r="D11" s="88"/>
      <c r="E11" s="89"/>
      <c r="F11" s="84" t="s">
        <v>53</v>
      </c>
      <c r="G11" s="85"/>
    </row>
    <row r="12" spans="1:12" ht="16.5" customHeight="1" thickTop="1">
      <c r="A12" s="100"/>
      <c r="B12" s="102" t="s">
        <v>36</v>
      </c>
      <c r="C12" s="104" t="s">
        <v>51</v>
      </c>
      <c r="D12" s="104"/>
      <c r="E12" s="105" t="s">
        <v>37</v>
      </c>
      <c r="F12" s="107" t="s">
        <v>50</v>
      </c>
      <c r="G12" s="107"/>
    </row>
    <row r="13" spans="1:12" ht="16.5" customHeight="1">
      <c r="A13" s="101"/>
      <c r="B13" s="103"/>
      <c r="C13" s="63" t="s">
        <v>48</v>
      </c>
      <c r="D13" s="62" t="s">
        <v>49</v>
      </c>
      <c r="E13" s="106"/>
      <c r="F13" s="63" t="s">
        <v>48</v>
      </c>
      <c r="G13" s="62" t="s">
        <v>49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218</v>
      </c>
      <c r="D14" s="65">
        <f>'入力　発注書'!E13</f>
        <v>164</v>
      </c>
      <c r="E14" s="65">
        <f>'入力　発注書'!I13</f>
        <v>10</v>
      </c>
      <c r="F14" s="66">
        <f>$E14*C14</f>
        <v>2180</v>
      </c>
      <c r="G14" s="66">
        <f>$E14*D14</f>
        <v>1640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発注書'!I14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hidden="1" customHeight="1">
      <c r="A16" s="61">
        <f>'入力　発注書'!A15</f>
        <v>3</v>
      </c>
      <c r="B16" s="64" t="str">
        <f>'入力　発注書'!B15</f>
        <v>玉ねぎS</v>
      </c>
      <c r="C16" s="65">
        <f>'入力　発注書'!D15</f>
        <v>138</v>
      </c>
      <c r="D16" s="65">
        <f>'入力　発注書'!E15</f>
        <v>104</v>
      </c>
      <c r="E16" s="65">
        <f>'入力　発注書'!I15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里芋</v>
      </c>
      <c r="C17" s="65">
        <f>'入力　発注書'!D16</f>
        <v>198</v>
      </c>
      <c r="D17" s="68">
        <f>'入力　発注書'!E16</f>
        <v>149</v>
      </c>
      <c r="E17" s="68">
        <f>'入力　発注書'!I16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</v>
      </c>
      <c r="C18" s="65">
        <f>'入力　発注書'!D17</f>
        <v>128</v>
      </c>
      <c r="D18" s="68">
        <f>'入力　発注書'!E17</f>
        <v>96</v>
      </c>
      <c r="E18" s="68">
        <f>'入力　発注書'!I17</f>
        <v>5</v>
      </c>
      <c r="F18" s="66">
        <f t="shared" si="0"/>
        <v>640</v>
      </c>
      <c r="G18" s="69">
        <f t="shared" si="1"/>
        <v>480</v>
      </c>
    </row>
    <row r="19" spans="1:7" ht="13.15" hidden="1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96</v>
      </c>
      <c r="E19" s="65">
        <f>'入力　発注書'!I18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138</v>
      </c>
      <c r="D20" s="68">
        <f>'入力　発注書'!E19</f>
        <v>104</v>
      </c>
      <c r="E20" s="68">
        <f>'入力　発注書'!I19</f>
        <v>5</v>
      </c>
      <c r="F20" s="66">
        <f t="shared" si="0"/>
        <v>690</v>
      </c>
      <c r="G20" s="69">
        <f t="shared" si="1"/>
        <v>520</v>
      </c>
    </row>
    <row r="21" spans="1:7" ht="13.15" customHeight="1">
      <c r="A21" s="67">
        <f>'入力　発注書'!A20</f>
        <v>8</v>
      </c>
      <c r="B21" s="64" t="str">
        <f>'入力　発注書'!B20</f>
        <v>トマト</v>
      </c>
      <c r="C21" s="65">
        <f>'入力　発注書'!D20</f>
        <v>288</v>
      </c>
      <c r="D21" s="65">
        <f>'入力　発注書'!E20</f>
        <v>216</v>
      </c>
      <c r="E21" s="65">
        <f>'入力　発注書'!I20</f>
        <v>3</v>
      </c>
      <c r="F21" s="66">
        <f t="shared" si="0"/>
        <v>864</v>
      </c>
      <c r="G21" s="66">
        <f t="shared" si="1"/>
        <v>648</v>
      </c>
    </row>
    <row r="22" spans="1:7" ht="13.15" hidden="1" customHeight="1">
      <c r="A22" s="67">
        <f>'入力　発注書'!A21</f>
        <v>9</v>
      </c>
      <c r="B22" s="64" t="str">
        <f>'入力　発注書'!B21</f>
        <v>フルーツトマト</v>
      </c>
      <c r="C22" s="65">
        <f>'入力　発注書'!D21</f>
        <v>238</v>
      </c>
      <c r="D22" s="68">
        <f>'入力　発注書'!E21</f>
        <v>179</v>
      </c>
      <c r="E22" s="68">
        <f>'入力　発注書'!I21</f>
        <v>0</v>
      </c>
      <c r="F22" s="66">
        <f t="shared" si="0"/>
        <v>0</v>
      </c>
      <c r="G22" s="69">
        <f t="shared" si="1"/>
        <v>0</v>
      </c>
    </row>
    <row r="23" spans="1:7" ht="13.15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298</v>
      </c>
      <c r="D23" s="68">
        <f>'入力　発注書'!E22</f>
        <v>224</v>
      </c>
      <c r="E23" s="68">
        <f>'入力　発注書'!I22</f>
        <v>3</v>
      </c>
      <c r="F23" s="66">
        <f t="shared" si="0"/>
        <v>894</v>
      </c>
      <c r="G23" s="69">
        <f t="shared" si="1"/>
        <v>672</v>
      </c>
    </row>
    <row r="24" spans="1:7" ht="13.15" hidden="1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198</v>
      </c>
      <c r="D24" s="68">
        <f>'入力　発注書'!E23</f>
        <v>149</v>
      </c>
      <c r="E24" s="68">
        <f>'入力　発注書'!I23</f>
        <v>0</v>
      </c>
      <c r="F24" s="66">
        <f t="shared" si="0"/>
        <v>0</v>
      </c>
      <c r="G24" s="69">
        <f t="shared" si="1"/>
        <v>0</v>
      </c>
    </row>
    <row r="25" spans="1:7" ht="13.15" hidden="1" customHeight="1">
      <c r="A25" s="67">
        <f>'入力　発注書'!A24</f>
        <v>12</v>
      </c>
      <c r="B25" s="64" t="str">
        <f>'入力　発注書'!B24</f>
        <v>ピーマン</v>
      </c>
      <c r="C25" s="65">
        <f>'入力　発注書'!D24</f>
        <v>198</v>
      </c>
      <c r="D25" s="65">
        <f>'入力　発注書'!E24</f>
        <v>149</v>
      </c>
      <c r="E25" s="65">
        <f>'入力　発注書'!I24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キャベツ1個</v>
      </c>
      <c r="C26" s="65">
        <f>'入力　発注書'!D25</f>
        <v>248</v>
      </c>
      <c r="D26" s="68">
        <f>'入力　発注書'!E25</f>
        <v>186</v>
      </c>
      <c r="E26" s="68">
        <f>'入力　発注書'!I25</f>
        <v>0</v>
      </c>
      <c r="F26" s="66">
        <f t="shared" si="0"/>
        <v>0</v>
      </c>
      <c r="G26" s="69">
        <f t="shared" si="1"/>
        <v>0</v>
      </c>
    </row>
    <row r="27" spans="1:7" ht="13.15" hidden="1" customHeight="1">
      <c r="A27" s="67">
        <f>'入力　発注書'!A26</f>
        <v>14</v>
      </c>
      <c r="B27" s="64" t="str">
        <f>'入力　発注書'!B26</f>
        <v>サニーレタス</v>
      </c>
      <c r="C27" s="65">
        <f>'入力　発注書'!D26</f>
        <v>98</v>
      </c>
      <c r="D27" s="65">
        <f>'入力　発注書'!E26</f>
        <v>74</v>
      </c>
      <c r="E27" s="65">
        <f>'入力　発注書'!I26</f>
        <v>0</v>
      </c>
      <c r="F27" s="66">
        <f t="shared" si="0"/>
        <v>0</v>
      </c>
      <c r="G27" s="66">
        <f t="shared" si="1"/>
        <v>0</v>
      </c>
    </row>
    <row r="28" spans="1:7" ht="13.15" hidden="1" customHeight="1">
      <c r="A28" s="67">
        <f>'入力　発注書'!A27</f>
        <v>15</v>
      </c>
      <c r="B28" s="64" t="str">
        <f>'入力　発注書'!B27</f>
        <v>白菜1/2個</v>
      </c>
      <c r="C28" s="65">
        <f>'入力　発注書'!D27</f>
        <v>248</v>
      </c>
      <c r="D28" s="68">
        <f>'入力　発注書'!E27</f>
        <v>186</v>
      </c>
      <c r="E28" s="68">
        <f>'入力　発注書'!I27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大根1本</v>
      </c>
      <c r="C29" s="65">
        <f>'入力　発注書'!D28</f>
        <v>128</v>
      </c>
      <c r="D29" s="68">
        <f>'入力　発注書'!E28</f>
        <v>96</v>
      </c>
      <c r="E29" s="68">
        <f>'入力　発注書'!I28</f>
        <v>5</v>
      </c>
      <c r="F29" s="66">
        <f t="shared" si="0"/>
        <v>640</v>
      </c>
      <c r="G29" s="69">
        <f t="shared" si="1"/>
        <v>480</v>
      </c>
    </row>
    <row r="30" spans="1:7" ht="13.15" hidden="1" customHeight="1">
      <c r="A30" s="67">
        <f>'入力　発注書'!A29</f>
        <v>17</v>
      </c>
      <c r="B30" s="64" t="str">
        <f>'入力　発注書'!B29</f>
        <v>小松菜</v>
      </c>
      <c r="C30" s="65">
        <f>'入力　発注書'!D29</f>
        <v>158</v>
      </c>
      <c r="D30" s="65">
        <f>'入力　発注書'!E29</f>
        <v>119</v>
      </c>
      <c r="E30" s="65">
        <f>'入力　発注書'!I29</f>
        <v>0</v>
      </c>
      <c r="F30" s="66">
        <f t="shared" si="0"/>
        <v>0</v>
      </c>
      <c r="G30" s="66">
        <f t="shared" si="1"/>
        <v>0</v>
      </c>
    </row>
    <row r="31" spans="1:7" ht="13.15" hidden="1" customHeight="1">
      <c r="A31" s="67">
        <f>'入力　発注書'!A30</f>
        <v>18</v>
      </c>
      <c r="B31" s="64" t="str">
        <f>'入力　発注書'!B30</f>
        <v>レタス</v>
      </c>
      <c r="C31" s="65">
        <f>'入力　発注書'!D30</f>
        <v>198</v>
      </c>
      <c r="D31" s="68">
        <f>'入力　発注書'!E30</f>
        <v>149</v>
      </c>
      <c r="E31" s="68">
        <f>'入力　発注書'!I30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98</v>
      </c>
      <c r="D32" s="68">
        <f>'入力　発注書'!E31</f>
        <v>74</v>
      </c>
      <c r="E32" s="68">
        <f>'入力　発注書'!I31</f>
        <v>0</v>
      </c>
      <c r="F32" s="66">
        <f t="shared" si="0"/>
        <v>0</v>
      </c>
      <c r="G32" s="69">
        <f t="shared" si="1"/>
        <v>0</v>
      </c>
    </row>
    <row r="33" spans="1:7" ht="13.15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発注書'!I32</f>
        <v>3</v>
      </c>
      <c r="F33" s="66">
        <f t="shared" si="0"/>
        <v>414</v>
      </c>
      <c r="G33" s="69">
        <f t="shared" si="1"/>
        <v>312</v>
      </c>
    </row>
    <row r="34" spans="1:7" ht="13.15" hidden="1" customHeight="1">
      <c r="A34" s="67">
        <f>'入力　発注書'!A33</f>
        <v>21</v>
      </c>
      <c r="B34" s="64" t="str">
        <f>'入力　発注書'!B33</f>
        <v>茄子2本</v>
      </c>
      <c r="C34" s="65">
        <f>'入力　発注書'!D33</f>
        <v>178</v>
      </c>
      <c r="D34" s="68">
        <f>'入力　発注書'!E33</f>
        <v>134</v>
      </c>
      <c r="E34" s="68">
        <f>'入力　発注書'!I33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238</v>
      </c>
      <c r="D35" s="68">
        <f>'入力　発注書'!E34</f>
        <v>179</v>
      </c>
      <c r="E35" s="68">
        <f>'入力　発注書'!I34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248</v>
      </c>
      <c r="D36" s="68">
        <f>'入力　発注書'!E35</f>
        <v>186</v>
      </c>
      <c r="E36" s="68">
        <f>'入力　発注書'!I35</f>
        <v>0</v>
      </c>
      <c r="F36" s="66">
        <f t="shared" si="0"/>
        <v>0</v>
      </c>
      <c r="G36" s="69">
        <f t="shared" si="1"/>
        <v>0</v>
      </c>
    </row>
    <row r="37" spans="1:7" ht="13.15" hidden="1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198</v>
      </c>
      <c r="D37" s="68">
        <f>'入力　発注書'!E36</f>
        <v>149</v>
      </c>
      <c r="E37" s="68">
        <f>'入力　発注書'!I36</f>
        <v>0</v>
      </c>
      <c r="F37" s="66">
        <f t="shared" si="0"/>
        <v>0</v>
      </c>
      <c r="G37" s="69">
        <f t="shared" si="1"/>
        <v>0</v>
      </c>
    </row>
    <row r="38" spans="1:7" ht="13.15" hidden="1" customHeight="1">
      <c r="A38" s="67">
        <f>'入力　発注書'!A37</f>
        <v>25</v>
      </c>
      <c r="B38" s="64" t="str">
        <f>'入力　発注書'!B37</f>
        <v>ほうれん草</v>
      </c>
      <c r="C38" s="65">
        <f>'入力　発注書'!D37</f>
        <v>198</v>
      </c>
      <c r="D38" s="68">
        <f>'入力　発注書'!E37</f>
        <v>149</v>
      </c>
      <c r="E38" s="68">
        <f>'入力　発注書'!I37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111</v>
      </c>
      <c r="E39" s="68">
        <f>'入力　発注書'!I38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148</v>
      </c>
      <c r="D40" s="68">
        <f>'入力　発注書'!E39</f>
        <v>111</v>
      </c>
      <c r="E40" s="68">
        <f>'入力　発注書'!I39</f>
        <v>0</v>
      </c>
      <c r="F40" s="66">
        <f t="shared" si="0"/>
        <v>0</v>
      </c>
      <c r="G40" s="69">
        <f t="shared" si="1"/>
        <v>0</v>
      </c>
    </row>
    <row r="41" spans="1:7" ht="13.15" hidden="1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178</v>
      </c>
      <c r="D41" s="65">
        <f>'入力　発注書'!E40</f>
        <v>134</v>
      </c>
      <c r="E41" s="65">
        <f>'入力　発注書'!I40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発注書'!I41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発注書'!I42</f>
        <v>0</v>
      </c>
      <c r="F43" s="66">
        <f t="shared" si="0"/>
        <v>0</v>
      </c>
      <c r="G43" s="69">
        <f t="shared" si="1"/>
        <v>0</v>
      </c>
    </row>
    <row r="44" spans="1:7" ht="13.15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108</v>
      </c>
      <c r="D44" s="68">
        <f>'入力　発注書'!E43</f>
        <v>81</v>
      </c>
      <c r="E44" s="68">
        <f>'入力　発注書'!I43</f>
        <v>3</v>
      </c>
      <c r="F44" s="66">
        <f t="shared" si="0"/>
        <v>324</v>
      </c>
      <c r="G44" s="69">
        <f t="shared" si="1"/>
        <v>243</v>
      </c>
    </row>
    <row r="45" spans="1:7" ht="13.15" customHeight="1">
      <c r="A45" s="67">
        <f>'入力　発注書'!A44</f>
        <v>32</v>
      </c>
      <c r="B45" s="64" t="str">
        <f>'入力　発注書'!B44</f>
        <v>にら</v>
      </c>
      <c r="C45" s="65">
        <f>'入力　発注書'!D44</f>
        <v>98</v>
      </c>
      <c r="D45" s="68">
        <f>'入力　発注書'!E44</f>
        <v>74</v>
      </c>
      <c r="E45" s="68">
        <f>'入力　発注書'!I44</f>
        <v>5</v>
      </c>
      <c r="F45" s="66">
        <f t="shared" si="0"/>
        <v>490</v>
      </c>
      <c r="G45" s="69">
        <f t="shared" si="1"/>
        <v>370</v>
      </c>
    </row>
    <row r="46" spans="1:7" ht="13.15" hidden="1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発注書'!I45</f>
        <v>0</v>
      </c>
      <c r="F46" s="66">
        <f t="shared" si="0"/>
        <v>0</v>
      </c>
      <c r="G46" s="69">
        <f t="shared" ref="G46:G71" si="2">E46*D46</f>
        <v>0</v>
      </c>
    </row>
    <row r="47" spans="1:7" ht="13.15" hidden="1" customHeight="1">
      <c r="A47" s="61">
        <f>'入力　発注書'!A46</f>
        <v>34</v>
      </c>
      <c r="B47" s="64" t="str">
        <f>'入力　発注書'!B46</f>
        <v>中国ニンニク</v>
      </c>
      <c r="C47" s="65">
        <f>'入力　発注書'!D46</f>
        <v>168</v>
      </c>
      <c r="D47" s="65">
        <f>'入力　発注書'!E46</f>
        <v>126</v>
      </c>
      <c r="E47" s="65">
        <f>'入力　発注書'!I46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>
      <c r="A48" s="67">
        <f>'入力　発注書'!A47</f>
        <v>35</v>
      </c>
      <c r="B48" s="64" t="str">
        <f>'入力　発注書'!B47</f>
        <v>みょうが</v>
      </c>
      <c r="C48" s="65">
        <f>'入力　発注書'!D47</f>
        <v>198</v>
      </c>
      <c r="D48" s="68">
        <f>'入力　発注書'!E47</f>
        <v>149</v>
      </c>
      <c r="E48" s="68">
        <f>'入力　発注書'!I47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138</v>
      </c>
      <c r="D49" s="68">
        <f>'入力　発注書'!E48</f>
        <v>104</v>
      </c>
      <c r="E49" s="68">
        <f>'入力　発注書'!I48</f>
        <v>0</v>
      </c>
      <c r="F49" s="66">
        <f t="shared" si="0"/>
        <v>0</v>
      </c>
      <c r="G49" s="69">
        <f t="shared" si="2"/>
        <v>0</v>
      </c>
    </row>
    <row r="50" spans="1:7" ht="12.75" hidden="1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538</v>
      </c>
      <c r="D50" s="68">
        <f>'入力　発注書'!E49</f>
        <v>404</v>
      </c>
      <c r="E50" s="68">
        <f>'入力　発注書'!I49</f>
        <v>0</v>
      </c>
      <c r="F50" s="66">
        <f t="shared" si="0"/>
        <v>0</v>
      </c>
      <c r="G50" s="69">
        <f t="shared" si="2"/>
        <v>0</v>
      </c>
    </row>
    <row r="51" spans="1:7" ht="13.15" customHeight="1">
      <c r="A51" s="61">
        <f>'入力　発注書'!A50</f>
        <v>38</v>
      </c>
      <c r="B51" s="64" t="str">
        <f>'入力　発注書'!B50</f>
        <v>とうもろこし</v>
      </c>
      <c r="C51" s="65">
        <f>'入力　発注書'!D50</f>
        <v>128</v>
      </c>
      <c r="D51" s="65">
        <f>'入力　発注書'!E50</f>
        <v>96</v>
      </c>
      <c r="E51" s="65">
        <f>'入力　発注書'!I50</f>
        <v>10</v>
      </c>
      <c r="F51" s="66">
        <f t="shared" si="0"/>
        <v>1280</v>
      </c>
      <c r="G51" s="66">
        <f t="shared" si="2"/>
        <v>960</v>
      </c>
    </row>
    <row r="52" spans="1:7" ht="13.15" hidden="1" customHeight="1">
      <c r="A52" s="67">
        <f>'入力　発注書'!A51</f>
        <v>39</v>
      </c>
      <c r="B52" s="64" t="str">
        <f>'入力　発注書'!B51</f>
        <v>キウイフルーツ</v>
      </c>
      <c r="C52" s="65">
        <f>'入力　発注書'!D51</f>
        <v>398</v>
      </c>
      <c r="D52" s="68">
        <f>'入力　発注書'!E51</f>
        <v>299</v>
      </c>
      <c r="E52" s="68">
        <f>'入力　発注書'!I51</f>
        <v>0</v>
      </c>
      <c r="F52" s="66">
        <f t="shared" si="0"/>
        <v>0</v>
      </c>
      <c r="G52" s="69">
        <f t="shared" si="2"/>
        <v>0</v>
      </c>
    </row>
    <row r="53" spans="1:7" ht="13.15" customHeight="1">
      <c r="A53" s="67">
        <f>'入力　発注書'!A52</f>
        <v>40</v>
      </c>
      <c r="B53" s="64" t="str">
        <f>'入力　発注書'!B52</f>
        <v>枝豆２００g</v>
      </c>
      <c r="C53" s="65">
        <f>'入力　発注書'!D52</f>
        <v>328</v>
      </c>
      <c r="D53" s="68">
        <f>'入力　発注書'!E52</f>
        <v>246</v>
      </c>
      <c r="E53" s="68">
        <f>'入力　発注書'!I52</f>
        <v>5</v>
      </c>
      <c r="F53" s="66">
        <f t="shared" si="0"/>
        <v>1640</v>
      </c>
      <c r="G53" s="69">
        <f t="shared" si="2"/>
        <v>1230</v>
      </c>
    </row>
    <row r="54" spans="1:7" ht="12.75" hidden="1" customHeight="1">
      <c r="A54" s="67">
        <f>'入力　発注書'!A53</f>
        <v>41</v>
      </c>
      <c r="B54" s="64" t="str">
        <f>'入力　発注書'!B53</f>
        <v>ブロッコリー</v>
      </c>
      <c r="C54" s="65">
        <f>'入力　発注書'!D53</f>
        <v>108</v>
      </c>
      <c r="D54" s="68">
        <f>'入力　発注書'!E53</f>
        <v>81</v>
      </c>
      <c r="E54" s="68">
        <f>'入力　発注書'!I53</f>
        <v>0</v>
      </c>
      <c r="F54" s="66">
        <f t="shared" si="0"/>
        <v>0</v>
      </c>
      <c r="G54" s="69">
        <f t="shared" si="2"/>
        <v>0</v>
      </c>
    </row>
    <row r="55" spans="1:7" ht="13.15" customHeight="1">
      <c r="A55" s="61">
        <f>'入力　発注書'!A54</f>
        <v>42</v>
      </c>
      <c r="B55" s="64" t="str">
        <f>'入力　発注書'!B54</f>
        <v>シャインマスカット</v>
      </c>
      <c r="C55" s="65">
        <f>'入力　発注書'!D54</f>
        <v>1280</v>
      </c>
      <c r="D55" s="65">
        <f>'入力　発注書'!E54</f>
        <v>960</v>
      </c>
      <c r="E55" s="65">
        <f>'入力　発注書'!I54</f>
        <v>4</v>
      </c>
      <c r="F55" s="66">
        <f t="shared" si="0"/>
        <v>5120</v>
      </c>
      <c r="G55" s="66">
        <f t="shared" si="2"/>
        <v>3840</v>
      </c>
    </row>
    <row r="56" spans="1:7" ht="15.6" hidden="1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418</v>
      </c>
      <c r="D56" s="68">
        <f>'入力　発注書'!E55</f>
        <v>314</v>
      </c>
      <c r="E56" s="68">
        <f>'入力　発注書'!I55</f>
        <v>0</v>
      </c>
      <c r="F56" s="66">
        <f t="shared" si="0"/>
        <v>0</v>
      </c>
      <c r="G56" s="69">
        <f t="shared" si="2"/>
        <v>0</v>
      </c>
    </row>
    <row r="57" spans="1:7" ht="15.6" hidden="1" customHeight="1" thickBot="1">
      <c r="A57" s="67">
        <f>'入力　発注書'!A56</f>
        <v>44</v>
      </c>
      <c r="B57" s="64" t="str">
        <f>'入力　発注書'!B56</f>
        <v>オレンジ３個</v>
      </c>
      <c r="C57" s="65">
        <f>'入力　発注書'!D56</f>
        <v>398</v>
      </c>
      <c r="D57" s="68">
        <f>'入力　発注書'!E56</f>
        <v>299</v>
      </c>
      <c r="E57" s="68">
        <f>'入力　発注書'!I56</f>
        <v>0</v>
      </c>
      <c r="F57" s="66">
        <f t="shared" si="0"/>
        <v>0</v>
      </c>
      <c r="G57" s="69">
        <f t="shared" si="2"/>
        <v>0</v>
      </c>
    </row>
    <row r="58" spans="1:7" ht="15.6" customHeight="1">
      <c r="A58" s="67">
        <f>'入力　発注書'!A57</f>
        <v>45</v>
      </c>
      <c r="B58" s="64" t="str">
        <f>'入力　発注書'!B57</f>
        <v>もも1個</v>
      </c>
      <c r="C58" s="65">
        <f>'入力　発注書'!D57</f>
        <v>200</v>
      </c>
      <c r="D58" s="68">
        <f>'入力　発注書'!E57</f>
        <v>150</v>
      </c>
      <c r="E58" s="68">
        <f>'入力　発注書'!I57</f>
        <v>18</v>
      </c>
      <c r="F58" s="66">
        <f t="shared" si="0"/>
        <v>3600</v>
      </c>
      <c r="G58" s="69">
        <f t="shared" si="2"/>
        <v>2700</v>
      </c>
    </row>
    <row r="59" spans="1:7" ht="15.6" customHeight="1" thickBot="1">
      <c r="A59" s="67">
        <f>'入力　発注書'!A58</f>
        <v>46</v>
      </c>
      <c r="B59" s="64" t="str">
        <f>'入力　発注書'!B58</f>
        <v>デラウエア</v>
      </c>
      <c r="C59" s="65">
        <f>'入力　発注書'!D58</f>
        <v>398</v>
      </c>
      <c r="D59" s="68">
        <f>'入力　発注書'!E58</f>
        <v>299</v>
      </c>
      <c r="E59" s="68">
        <f>'入力　発注書'!I58</f>
        <v>4</v>
      </c>
      <c r="F59" s="66">
        <f t="shared" si="0"/>
        <v>1592</v>
      </c>
      <c r="G59" s="69">
        <f t="shared" si="2"/>
        <v>1196</v>
      </c>
    </row>
    <row r="60" spans="1:7" ht="19.5" hidden="1" thickBot="1">
      <c r="A60" s="67">
        <f>'入力　発注書'!A59</f>
        <v>47</v>
      </c>
      <c r="B60" s="64" t="str">
        <f>'入力　発注書'!B59</f>
        <v>たけのこ水煮</v>
      </c>
      <c r="C60" s="65">
        <f>'入力　発注書'!D59</f>
        <v>178</v>
      </c>
      <c r="D60" s="68">
        <f>'入力　発注書'!E59</f>
        <v>134</v>
      </c>
      <c r="E60" s="68">
        <f>'入力　発注書'!I59</f>
        <v>0</v>
      </c>
      <c r="F60" s="66">
        <f t="shared" si="0"/>
        <v>0</v>
      </c>
      <c r="G60" s="69">
        <f t="shared" si="2"/>
        <v>0</v>
      </c>
    </row>
    <row r="61" spans="1:7" ht="14.25" hidden="1" customHeight="1">
      <c r="A61" s="67">
        <f>'入力　発注書'!A60</f>
        <v>48</v>
      </c>
      <c r="B61" s="64" t="str">
        <f>'入力　発注書'!B60</f>
        <v>豚汁の具</v>
      </c>
      <c r="C61" s="65">
        <f>'入力　発注書'!D60</f>
        <v>178</v>
      </c>
      <c r="D61" s="68">
        <f>'入力　発注書'!E60</f>
        <v>134</v>
      </c>
      <c r="E61" s="68">
        <f>'入力　発注書'!I60</f>
        <v>0</v>
      </c>
      <c r="F61" s="66">
        <f t="shared" si="0"/>
        <v>0</v>
      </c>
      <c r="G61" s="69">
        <f t="shared" si="2"/>
        <v>0</v>
      </c>
    </row>
    <row r="62" spans="1:7" ht="14.25" hidden="1" customHeight="1" thickBot="1">
      <c r="A62" s="67">
        <f>'入力　発注書'!A61</f>
        <v>49</v>
      </c>
      <c r="B62" s="64" t="str">
        <f>'入力　発注書'!B61</f>
        <v>メロン</v>
      </c>
      <c r="C62" s="65">
        <f>'入力　発注書'!D61</f>
        <v>580</v>
      </c>
      <c r="D62" s="68">
        <f>'入力　発注書'!E61</f>
        <v>435</v>
      </c>
      <c r="E62" s="68">
        <f>'入力　発注書'!I61</f>
        <v>0</v>
      </c>
      <c r="F62" s="66">
        <f t="shared" si="0"/>
        <v>0</v>
      </c>
      <c r="G62" s="69">
        <f t="shared" ref="G62:G70" si="3">E62*D62</f>
        <v>0</v>
      </c>
    </row>
    <row r="63" spans="1:7" ht="14.25" hidden="1" customHeight="1">
      <c r="A63" s="67">
        <f>'入力　発注書'!A62</f>
        <v>50</v>
      </c>
      <c r="B63" s="64" t="str">
        <f>'入力　発注書'!B62</f>
        <v>ブドウ</v>
      </c>
      <c r="C63" s="65">
        <f>'入力　発注書'!D62</f>
        <v>498</v>
      </c>
      <c r="D63" s="68">
        <f>'入力　発注書'!E62</f>
        <v>374</v>
      </c>
      <c r="E63" s="68">
        <f>'入力　発注書'!I62</f>
        <v>0</v>
      </c>
      <c r="F63" s="66">
        <f t="shared" si="0"/>
        <v>0</v>
      </c>
      <c r="G63" s="69">
        <f t="shared" si="3"/>
        <v>0</v>
      </c>
    </row>
    <row r="64" spans="1:7" ht="12.75" hidden="1" customHeight="1">
      <c r="A64" s="67">
        <f>'入力　発注書'!A63</f>
        <v>51</v>
      </c>
      <c r="B64" s="64" t="str">
        <f>'入力　発注書'!B63</f>
        <v>イチゴ</v>
      </c>
      <c r="C64" s="65">
        <f>'入力　発注書'!D63</f>
        <v>498</v>
      </c>
      <c r="D64" s="68">
        <f>'入力　発注書'!E63</f>
        <v>374</v>
      </c>
      <c r="E64" s="68">
        <f>'入力　発注書'!I63</f>
        <v>0</v>
      </c>
      <c r="F64" s="66">
        <f t="shared" si="0"/>
        <v>0</v>
      </c>
      <c r="G64" s="69">
        <f t="shared" si="3"/>
        <v>0</v>
      </c>
    </row>
    <row r="65" spans="1:7" ht="19.5" hidden="1" thickBo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発注書'!I64</f>
        <v>0</v>
      </c>
      <c r="F65" s="66">
        <f t="shared" si="0"/>
        <v>0</v>
      </c>
      <c r="G65" s="69">
        <f t="shared" si="3"/>
        <v>0</v>
      </c>
    </row>
    <row r="66" spans="1:7" ht="19.5" hidden="1" thickBo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発注書'!I65</f>
        <v>0</v>
      </c>
      <c r="F66" s="66">
        <f t="shared" si="0"/>
        <v>0</v>
      </c>
      <c r="G66" s="69">
        <f t="shared" si="3"/>
        <v>0</v>
      </c>
    </row>
    <row r="67" spans="1:7" ht="19.5" hidden="1" thickBo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発注書'!I66</f>
        <v>0</v>
      </c>
      <c r="F67" s="66">
        <f t="shared" si="0"/>
        <v>0</v>
      </c>
      <c r="G67" s="69">
        <f t="shared" si="3"/>
        <v>0</v>
      </c>
    </row>
    <row r="68" spans="1:7" ht="19.5" hidden="1" thickBo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発注書'!I67</f>
        <v>0</v>
      </c>
      <c r="F68" s="66">
        <f t="shared" si="0"/>
        <v>0</v>
      </c>
      <c r="G68" s="69">
        <f t="shared" si="3"/>
        <v>0</v>
      </c>
    </row>
    <row r="69" spans="1:7" ht="12.75" hidden="1" customHeight="1">
      <c r="A69" s="67">
        <f>'入力　発注書'!A68</f>
        <v>56</v>
      </c>
      <c r="B69" s="64" t="str">
        <f>'入力　発注書'!B68</f>
        <v>新玉ねぎ</v>
      </c>
      <c r="C69" s="65">
        <f>'入力　発注書'!D68</f>
        <v>218</v>
      </c>
      <c r="D69" s="68">
        <f>'入力　発注書'!E68</f>
        <v>164</v>
      </c>
      <c r="E69" s="68">
        <f>'入力　発注書'!I68</f>
        <v>0</v>
      </c>
      <c r="F69" s="66">
        <f t="shared" si="0"/>
        <v>0</v>
      </c>
      <c r="G69" s="69">
        <f t="shared" si="3"/>
        <v>0</v>
      </c>
    </row>
    <row r="70" spans="1:7" ht="19.5" hidden="1" thickBot="1">
      <c r="A70" s="70">
        <f>'入力　発注書'!A69</f>
        <v>57</v>
      </c>
      <c r="B70" s="64" t="str">
        <f>'入力　発注書'!B69</f>
        <v>切り干し大根</v>
      </c>
      <c r="C70" s="65">
        <f>'入力　発注書'!D69</f>
        <v>238</v>
      </c>
      <c r="D70" s="68">
        <f>'入力　発注書'!E69</f>
        <v>179</v>
      </c>
      <c r="E70" s="68">
        <f>'入力　発注書'!I69</f>
        <v>0</v>
      </c>
      <c r="F70" s="66">
        <f t="shared" si="0"/>
        <v>0</v>
      </c>
      <c r="G70" s="69">
        <f t="shared" si="3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発注書'!I70</f>
        <v>550</v>
      </c>
      <c r="E71" s="73">
        <f>IF(D71&lt;&gt;0,1,0)</f>
        <v>1</v>
      </c>
      <c r="F71" s="73"/>
      <c r="G71" s="74">
        <f t="shared" si="2"/>
        <v>550</v>
      </c>
    </row>
    <row r="72" spans="1:7" s="38" customFormat="1" ht="16.5" customHeight="1" thickTop="1">
      <c r="A72" s="90"/>
      <c r="B72" s="92" t="s">
        <v>39</v>
      </c>
      <c r="C72" s="59"/>
      <c r="D72" s="94" t="s">
        <v>44</v>
      </c>
      <c r="E72" s="95"/>
      <c r="F72" s="40">
        <f>SUM(F14:F70)</f>
        <v>20368</v>
      </c>
      <c r="G72" s="40">
        <f>SUM(G14:G70)</f>
        <v>15291</v>
      </c>
    </row>
    <row r="73" spans="1:7" s="38" customFormat="1" ht="16.5" customHeight="1">
      <c r="A73" s="91"/>
      <c r="B73" s="93"/>
      <c r="C73" s="60"/>
      <c r="D73" s="96" t="s">
        <v>45</v>
      </c>
      <c r="E73" s="97"/>
      <c r="F73" s="37"/>
      <c r="G73" s="37">
        <f>G71</f>
        <v>550</v>
      </c>
    </row>
    <row r="74" spans="1:7" ht="14.25" customHeight="1">
      <c r="B74" s="39" t="s">
        <v>46</v>
      </c>
      <c r="C74" s="39"/>
    </row>
  </sheetData>
  <sheetProtection selectLockedCells="1" autoFilter="0" selectUnlockedCells="1"/>
  <autoFilter ref="A13:G74" xr:uid="{9F168BD2-722D-4F1F-95BC-CA982854E6A7}">
    <filterColumn colId="5">
      <filters blank="1">
        <filter val="1,280"/>
        <filter val="1,592"/>
        <filter val="1,640"/>
        <filter val="2,180"/>
        <filter val="20,368"/>
        <filter val="3,600"/>
        <filter val="324"/>
        <filter val="414"/>
        <filter val="490"/>
        <filter val="5,120"/>
        <filter val="640"/>
        <filter val="690"/>
        <filter val="864"/>
        <filter val="894"/>
      </filters>
    </filterColumn>
  </autoFilter>
  <mergeCells count="17">
    <mergeCell ref="E7:G7"/>
    <mergeCell ref="F11:G11"/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A12:A13"/>
    <mergeCell ref="B12:B13"/>
    <mergeCell ref="C12:D12"/>
    <mergeCell ref="E12:E13"/>
    <mergeCell ref="F12:G12"/>
    <mergeCell ref="E6:G6"/>
  </mergeCells>
  <phoneticPr fontId="3"/>
  <pageMargins left="0.31496062992125984" right="0.11811023622047245" top="0.35433070866141736" bottom="0.15748031496062992" header="0.31496062992125984" footer="0.31496062992125984"/>
  <pageSetup paperSize="11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CB79-DFBB-474B-8931-9FB6B7CF4BD5}">
  <sheetPr filterMode="1">
    <tabColor rgb="FFFFFFCC"/>
    <pageSetUpPr fitToPage="1"/>
  </sheetPr>
  <dimension ref="A1:L74"/>
  <sheetViews>
    <sheetView workbookViewId="0">
      <selection activeCell="H74" sqref="B60:H74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23</v>
      </c>
    </row>
    <row r="2" spans="1:12" customFormat="1" ht="24" customHeight="1" thickBot="1">
      <c r="B2" s="76" t="s">
        <v>38</v>
      </c>
      <c r="C2" s="87">
        <f>'入力　発注書'!D8</f>
        <v>46231</v>
      </c>
      <c r="D2" s="87"/>
      <c r="E2" s="87"/>
      <c r="F2" s="1"/>
    </row>
    <row r="3" spans="1:12" ht="9.6" customHeight="1" thickTop="1"/>
    <row r="4" spans="1:12" ht="14.45" customHeight="1">
      <c r="D4" s="98" t="s">
        <v>24</v>
      </c>
      <c r="E4" s="98"/>
      <c r="F4" s="98"/>
      <c r="G4" s="98"/>
    </row>
    <row r="5" spans="1:12" ht="14.45" customHeight="1">
      <c r="D5" s="99" t="s">
        <v>25</v>
      </c>
      <c r="E5" s="99"/>
      <c r="F5" s="99"/>
      <c r="G5" s="99"/>
    </row>
    <row r="6" spans="1:12" ht="13.5" customHeight="1">
      <c r="E6" s="109" t="s">
        <v>27</v>
      </c>
      <c r="F6" s="109"/>
      <c r="G6" s="109"/>
    </row>
    <row r="7" spans="1:12" ht="13.5" customHeight="1">
      <c r="B7" s="2"/>
      <c r="C7" s="2"/>
      <c r="D7" s="8"/>
      <c r="E7" s="109" t="s">
        <v>28</v>
      </c>
      <c r="F7" s="109"/>
      <c r="G7" s="109"/>
      <c r="K7" s="4"/>
      <c r="L7" s="4"/>
    </row>
    <row r="8" spans="1:12" s="3" customFormat="1" ht="24.6" customHeight="1" thickBot="1">
      <c r="B8" s="77" t="s">
        <v>0</v>
      </c>
      <c r="C8" s="86" t="s">
        <v>54</v>
      </c>
      <c r="D8" s="86"/>
      <c r="E8" s="86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52</v>
      </c>
      <c r="C11" s="88">
        <f>G72+G73</f>
        <v>0</v>
      </c>
      <c r="D11" s="88"/>
      <c r="E11" s="89"/>
      <c r="F11" s="84" t="s">
        <v>53</v>
      </c>
      <c r="G11" s="85"/>
    </row>
    <row r="12" spans="1:12" ht="16.5" customHeight="1" thickTop="1">
      <c r="A12" s="100"/>
      <c r="B12" s="102" t="s">
        <v>36</v>
      </c>
      <c r="C12" s="104" t="s">
        <v>51</v>
      </c>
      <c r="D12" s="104"/>
      <c r="E12" s="105" t="s">
        <v>37</v>
      </c>
      <c r="F12" s="107" t="s">
        <v>50</v>
      </c>
      <c r="G12" s="107"/>
    </row>
    <row r="13" spans="1:12" ht="16.5" customHeight="1">
      <c r="A13" s="101"/>
      <c r="B13" s="103"/>
      <c r="C13" s="63" t="s">
        <v>48</v>
      </c>
      <c r="D13" s="62" t="s">
        <v>49</v>
      </c>
      <c r="E13" s="106"/>
      <c r="F13" s="63" t="s">
        <v>48</v>
      </c>
      <c r="G13" s="62" t="s">
        <v>49</v>
      </c>
    </row>
    <row r="14" spans="1:12" ht="13.15" hidden="1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218</v>
      </c>
      <c r="D14" s="65">
        <f>'入力　発注書'!E13</f>
        <v>164</v>
      </c>
      <c r="E14" s="65">
        <f>'入力　発注書'!J13</f>
        <v>0</v>
      </c>
      <c r="F14" s="66">
        <f>$E14*C14</f>
        <v>0</v>
      </c>
      <c r="G14" s="66">
        <f>$E14*D14</f>
        <v>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発注書'!J14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customHeight="1">
      <c r="A16" s="61">
        <f>'入力　発注書'!A15</f>
        <v>3</v>
      </c>
      <c r="B16" s="64" t="str">
        <f>'入力　発注書'!B15</f>
        <v>玉ねぎS</v>
      </c>
      <c r="C16" s="65">
        <f>'入力　発注書'!D15</f>
        <v>138</v>
      </c>
      <c r="D16" s="65">
        <f>'入力　発注書'!E15</f>
        <v>104</v>
      </c>
      <c r="E16" s="65">
        <f>'入力　発注書'!J15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里芋</v>
      </c>
      <c r="C17" s="65">
        <f>'入力　発注書'!D16</f>
        <v>198</v>
      </c>
      <c r="D17" s="68">
        <f>'入力　発注書'!E16</f>
        <v>149</v>
      </c>
      <c r="E17" s="68">
        <f>'入力　発注書'!J16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</v>
      </c>
      <c r="C18" s="65">
        <f>'入力　発注書'!D17</f>
        <v>128</v>
      </c>
      <c r="D18" s="68">
        <f>'入力　発注書'!E17</f>
        <v>96</v>
      </c>
      <c r="E18" s="68">
        <f>'入力　発注書'!J17</f>
        <v>0</v>
      </c>
      <c r="F18" s="66">
        <f t="shared" si="0"/>
        <v>0</v>
      </c>
      <c r="G18" s="69">
        <f t="shared" si="1"/>
        <v>0</v>
      </c>
    </row>
    <row r="19" spans="1:7" ht="13.15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96</v>
      </c>
      <c r="E19" s="65">
        <f>'入力　発注書'!J18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138</v>
      </c>
      <c r="D20" s="68">
        <f>'入力　発注書'!E19</f>
        <v>104</v>
      </c>
      <c r="E20" s="68">
        <f>'入力　発注書'!J19</f>
        <v>0</v>
      </c>
      <c r="F20" s="66">
        <f t="shared" si="0"/>
        <v>0</v>
      </c>
      <c r="G20" s="69">
        <f t="shared" si="1"/>
        <v>0</v>
      </c>
    </row>
    <row r="21" spans="1:7" ht="13.15" hidden="1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288</v>
      </c>
      <c r="D21" s="65">
        <f>'入力　発注書'!E20</f>
        <v>216</v>
      </c>
      <c r="E21" s="65">
        <f>'入力　発注書'!J20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フルーツトマト</v>
      </c>
      <c r="C22" s="65">
        <f>'入力　発注書'!D21</f>
        <v>238</v>
      </c>
      <c r="D22" s="68">
        <f>'入力　発注書'!E21</f>
        <v>179</v>
      </c>
      <c r="E22" s="68">
        <f>'入力　発注書'!J21</f>
        <v>0</v>
      </c>
      <c r="F22" s="66">
        <f t="shared" si="0"/>
        <v>0</v>
      </c>
      <c r="G22" s="69">
        <f t="shared" si="1"/>
        <v>0</v>
      </c>
    </row>
    <row r="23" spans="1:7" ht="13.15" hidden="1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298</v>
      </c>
      <c r="D23" s="68">
        <f>'入力　発注書'!E22</f>
        <v>224</v>
      </c>
      <c r="E23" s="68">
        <f>'入力　発注書'!J22</f>
        <v>0</v>
      </c>
      <c r="F23" s="66">
        <f t="shared" si="0"/>
        <v>0</v>
      </c>
      <c r="G23" s="69">
        <f t="shared" si="1"/>
        <v>0</v>
      </c>
    </row>
    <row r="24" spans="1:7" ht="13.15" hidden="1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198</v>
      </c>
      <c r="D24" s="68">
        <f>'入力　発注書'!E23</f>
        <v>149</v>
      </c>
      <c r="E24" s="68">
        <f>'入力　発注書'!J23</f>
        <v>0</v>
      </c>
      <c r="F24" s="66">
        <f t="shared" si="0"/>
        <v>0</v>
      </c>
      <c r="G24" s="69">
        <f t="shared" si="1"/>
        <v>0</v>
      </c>
    </row>
    <row r="25" spans="1:7" ht="13.15" hidden="1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198</v>
      </c>
      <c r="D25" s="65">
        <f>'入力　発注書'!E24</f>
        <v>149</v>
      </c>
      <c r="E25" s="65">
        <f>'入力　発注書'!J24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キャベツ1個</v>
      </c>
      <c r="C26" s="65">
        <f>'入力　発注書'!D25</f>
        <v>248</v>
      </c>
      <c r="D26" s="68">
        <f>'入力　発注書'!E25</f>
        <v>186</v>
      </c>
      <c r="E26" s="68">
        <f>'入力　発注書'!J25</f>
        <v>0</v>
      </c>
      <c r="F26" s="66">
        <f t="shared" si="0"/>
        <v>0</v>
      </c>
      <c r="G26" s="69">
        <f t="shared" si="1"/>
        <v>0</v>
      </c>
    </row>
    <row r="27" spans="1:7" ht="13.15" hidden="1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98</v>
      </c>
      <c r="D27" s="65">
        <f>'入力　発注書'!E26</f>
        <v>74</v>
      </c>
      <c r="E27" s="65">
        <f>'入力　発注書'!J26</f>
        <v>0</v>
      </c>
      <c r="F27" s="66">
        <f t="shared" si="0"/>
        <v>0</v>
      </c>
      <c r="G27" s="66">
        <f t="shared" si="1"/>
        <v>0</v>
      </c>
    </row>
    <row r="28" spans="1:7" ht="13.15" hidden="1" customHeight="1">
      <c r="A28" s="67">
        <f>'入力　発注書'!A27</f>
        <v>15</v>
      </c>
      <c r="B28" s="64" t="str">
        <f>'入力　発注書'!B27</f>
        <v>白菜1/2個</v>
      </c>
      <c r="C28" s="65">
        <f>'入力　発注書'!D27</f>
        <v>248</v>
      </c>
      <c r="D28" s="68">
        <f>'入力　発注書'!E27</f>
        <v>186</v>
      </c>
      <c r="E28" s="68">
        <f>'入力　発注書'!J27</f>
        <v>0</v>
      </c>
      <c r="F28" s="66">
        <f t="shared" si="0"/>
        <v>0</v>
      </c>
      <c r="G28" s="69">
        <f t="shared" si="1"/>
        <v>0</v>
      </c>
    </row>
    <row r="29" spans="1:7" ht="13.15" hidden="1" customHeight="1">
      <c r="A29" s="67">
        <f>'入力　発注書'!A28</f>
        <v>16</v>
      </c>
      <c r="B29" s="64" t="str">
        <f>'入力　発注書'!B28</f>
        <v>大根1本</v>
      </c>
      <c r="C29" s="65">
        <f>'入力　発注書'!D28</f>
        <v>128</v>
      </c>
      <c r="D29" s="68">
        <f>'入力　発注書'!E28</f>
        <v>96</v>
      </c>
      <c r="E29" s="68">
        <f>'入力　発注書'!J28</f>
        <v>0</v>
      </c>
      <c r="F29" s="66">
        <f t="shared" si="0"/>
        <v>0</v>
      </c>
      <c r="G29" s="69">
        <f t="shared" si="1"/>
        <v>0</v>
      </c>
    </row>
    <row r="30" spans="1:7" ht="13.15" hidden="1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158</v>
      </c>
      <c r="D30" s="65">
        <f>'入力　発注書'!E29</f>
        <v>119</v>
      </c>
      <c r="E30" s="65">
        <f>'入力　発注書'!J29</f>
        <v>0</v>
      </c>
      <c r="F30" s="66">
        <f t="shared" si="0"/>
        <v>0</v>
      </c>
      <c r="G30" s="66">
        <f t="shared" si="1"/>
        <v>0</v>
      </c>
    </row>
    <row r="31" spans="1:7" ht="13.15" hidden="1" customHeight="1">
      <c r="A31" s="67">
        <f>'入力　発注書'!A30</f>
        <v>18</v>
      </c>
      <c r="B31" s="64" t="str">
        <f>'入力　発注書'!B30</f>
        <v>レタス</v>
      </c>
      <c r="C31" s="65">
        <f>'入力　発注書'!D30</f>
        <v>198</v>
      </c>
      <c r="D31" s="68">
        <f>'入力　発注書'!E30</f>
        <v>149</v>
      </c>
      <c r="E31" s="68">
        <f>'入力　発注書'!J30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98</v>
      </c>
      <c r="D32" s="68">
        <f>'入力　発注書'!E31</f>
        <v>74</v>
      </c>
      <c r="E32" s="68">
        <f>'入力　発注書'!J31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発注書'!J32</f>
        <v>0</v>
      </c>
      <c r="F33" s="66">
        <f t="shared" si="0"/>
        <v>0</v>
      </c>
      <c r="G33" s="69">
        <f t="shared" si="1"/>
        <v>0</v>
      </c>
    </row>
    <row r="34" spans="1:7" ht="13.15" hidden="1" customHeight="1">
      <c r="A34" s="67">
        <f>'入力　発注書'!A33</f>
        <v>21</v>
      </c>
      <c r="B34" s="64" t="str">
        <f>'入力　発注書'!B33</f>
        <v>茄子2本</v>
      </c>
      <c r="C34" s="65">
        <f>'入力　発注書'!D33</f>
        <v>178</v>
      </c>
      <c r="D34" s="68">
        <f>'入力　発注書'!E33</f>
        <v>134</v>
      </c>
      <c r="E34" s="68">
        <f>'入力　発注書'!J33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238</v>
      </c>
      <c r="D35" s="68">
        <f>'入力　発注書'!E34</f>
        <v>179</v>
      </c>
      <c r="E35" s="68">
        <f>'入力　発注書'!J34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248</v>
      </c>
      <c r="D36" s="68">
        <f>'入力　発注書'!E35</f>
        <v>186</v>
      </c>
      <c r="E36" s="68">
        <f>'入力　発注書'!J35</f>
        <v>0</v>
      </c>
      <c r="F36" s="66">
        <f t="shared" si="0"/>
        <v>0</v>
      </c>
      <c r="G36" s="69">
        <f t="shared" si="1"/>
        <v>0</v>
      </c>
    </row>
    <row r="37" spans="1:7" ht="13.15" hidden="1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198</v>
      </c>
      <c r="D37" s="68">
        <f>'入力　発注書'!E36</f>
        <v>149</v>
      </c>
      <c r="E37" s="68">
        <f>'入力　発注書'!J36</f>
        <v>0</v>
      </c>
      <c r="F37" s="66">
        <f t="shared" si="0"/>
        <v>0</v>
      </c>
      <c r="G37" s="69">
        <f t="shared" si="1"/>
        <v>0</v>
      </c>
    </row>
    <row r="38" spans="1:7" ht="13.15" hidden="1" customHeight="1">
      <c r="A38" s="67">
        <f>'入力　発注書'!A37</f>
        <v>25</v>
      </c>
      <c r="B38" s="64" t="str">
        <f>'入力　発注書'!B37</f>
        <v>ほうれん草</v>
      </c>
      <c r="C38" s="65">
        <f>'入力　発注書'!D37</f>
        <v>198</v>
      </c>
      <c r="D38" s="68">
        <f>'入力　発注書'!E37</f>
        <v>149</v>
      </c>
      <c r="E38" s="68">
        <f>'入力　発注書'!J37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111</v>
      </c>
      <c r="E39" s="68">
        <f>'入力　発注書'!J38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 thickBo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148</v>
      </c>
      <c r="D40" s="68">
        <f>'入力　発注書'!E39</f>
        <v>111</v>
      </c>
      <c r="E40" s="68">
        <f>'入力　発注書'!J39</f>
        <v>0</v>
      </c>
      <c r="F40" s="66">
        <f t="shared" si="0"/>
        <v>0</v>
      </c>
      <c r="G40" s="69">
        <f t="shared" si="1"/>
        <v>0</v>
      </c>
    </row>
    <row r="41" spans="1:7" ht="13.15" hidden="1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178</v>
      </c>
      <c r="D41" s="65">
        <f>'入力　発注書'!E40</f>
        <v>134</v>
      </c>
      <c r="E41" s="65">
        <f>'入力　発注書'!J40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発注書'!J41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発注書'!J42</f>
        <v>0</v>
      </c>
      <c r="F43" s="66">
        <f t="shared" si="0"/>
        <v>0</v>
      </c>
      <c r="G43" s="69">
        <f t="shared" si="1"/>
        <v>0</v>
      </c>
    </row>
    <row r="44" spans="1:7" ht="13.15" hidden="1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108</v>
      </c>
      <c r="D44" s="68">
        <f>'入力　発注書'!E43</f>
        <v>81</v>
      </c>
      <c r="E44" s="68">
        <f>'入力　発注書'!J43</f>
        <v>0</v>
      </c>
      <c r="F44" s="66">
        <f t="shared" si="0"/>
        <v>0</v>
      </c>
      <c r="G44" s="69">
        <f t="shared" si="1"/>
        <v>0</v>
      </c>
    </row>
    <row r="45" spans="1:7" ht="13.15" hidden="1" customHeight="1">
      <c r="A45" s="67">
        <f>'入力　発注書'!A44</f>
        <v>32</v>
      </c>
      <c r="B45" s="64" t="str">
        <f>'入力　発注書'!B44</f>
        <v>にら</v>
      </c>
      <c r="C45" s="65">
        <f>'入力　発注書'!D44</f>
        <v>98</v>
      </c>
      <c r="D45" s="68">
        <f>'入力　発注書'!E44</f>
        <v>74</v>
      </c>
      <c r="E45" s="68">
        <f>'入力　発注書'!J44</f>
        <v>0</v>
      </c>
      <c r="F45" s="66">
        <f t="shared" si="0"/>
        <v>0</v>
      </c>
      <c r="G45" s="69">
        <f t="shared" si="1"/>
        <v>0</v>
      </c>
    </row>
    <row r="46" spans="1:7" ht="13.15" hidden="1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発注書'!J45</f>
        <v>0</v>
      </c>
      <c r="F46" s="66">
        <f t="shared" si="0"/>
        <v>0</v>
      </c>
      <c r="G46" s="69">
        <f t="shared" ref="G46:G70" si="2">E46*D46</f>
        <v>0</v>
      </c>
    </row>
    <row r="47" spans="1:7" ht="13.15" hidden="1" customHeight="1">
      <c r="A47" s="61">
        <f>'入力　発注書'!A46</f>
        <v>34</v>
      </c>
      <c r="B47" s="64" t="str">
        <f>'入力　発注書'!B46</f>
        <v>中国ニンニク</v>
      </c>
      <c r="C47" s="65">
        <f>'入力　発注書'!D46</f>
        <v>168</v>
      </c>
      <c r="D47" s="65">
        <f>'入力　発注書'!E46</f>
        <v>126</v>
      </c>
      <c r="E47" s="65">
        <f>'入力　発注書'!J46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>
      <c r="A48" s="67">
        <f>'入力　発注書'!A47</f>
        <v>35</v>
      </c>
      <c r="B48" s="64" t="str">
        <f>'入力　発注書'!B47</f>
        <v>みょうが</v>
      </c>
      <c r="C48" s="65">
        <f>'入力　発注書'!D47</f>
        <v>198</v>
      </c>
      <c r="D48" s="68">
        <f>'入力　発注書'!E47</f>
        <v>149</v>
      </c>
      <c r="E48" s="68">
        <f>'入力　発注書'!J47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138</v>
      </c>
      <c r="D49" s="68">
        <f>'入力　発注書'!E48</f>
        <v>104</v>
      </c>
      <c r="E49" s="68">
        <f>'入力　発注書'!J48</f>
        <v>0</v>
      </c>
      <c r="F49" s="66">
        <f t="shared" si="0"/>
        <v>0</v>
      </c>
      <c r="G49" s="69">
        <f t="shared" si="2"/>
        <v>0</v>
      </c>
    </row>
    <row r="50" spans="1:7" ht="13.15" customHeight="1" thickBo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538</v>
      </c>
      <c r="D50" s="68">
        <f>'入力　発注書'!E49</f>
        <v>404</v>
      </c>
      <c r="E50" s="68">
        <f>'入力　発注書'!J49</f>
        <v>0</v>
      </c>
      <c r="F50" s="66">
        <f t="shared" si="0"/>
        <v>0</v>
      </c>
      <c r="G50" s="69">
        <f t="shared" si="2"/>
        <v>0</v>
      </c>
    </row>
    <row r="51" spans="1:7" ht="13.15" hidden="1" customHeight="1">
      <c r="A51" s="61">
        <f>'入力　発注書'!A50</f>
        <v>38</v>
      </c>
      <c r="B51" s="64" t="str">
        <f>'入力　発注書'!B50</f>
        <v>とうもろこし</v>
      </c>
      <c r="C51" s="65">
        <f>'入力　発注書'!D50</f>
        <v>128</v>
      </c>
      <c r="D51" s="65">
        <f>'入力　発注書'!E50</f>
        <v>96</v>
      </c>
      <c r="E51" s="65">
        <f>'入力　発注書'!J50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>
      <c r="A52" s="67">
        <f>'入力　発注書'!A51</f>
        <v>39</v>
      </c>
      <c r="B52" s="64" t="str">
        <f>'入力　発注書'!B51</f>
        <v>キウイフルーツ</v>
      </c>
      <c r="C52" s="65">
        <f>'入力　発注書'!D51</f>
        <v>398</v>
      </c>
      <c r="D52" s="68">
        <f>'入力　発注書'!E51</f>
        <v>299</v>
      </c>
      <c r="E52" s="68">
        <f>'入力　発注書'!J51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>
      <c r="A53" s="67">
        <f>'入力　発注書'!A52</f>
        <v>40</v>
      </c>
      <c r="B53" s="64" t="str">
        <f>'入力　発注書'!B52</f>
        <v>枝豆２００g</v>
      </c>
      <c r="C53" s="65">
        <f>'入力　発注書'!D52</f>
        <v>328</v>
      </c>
      <c r="D53" s="68">
        <f>'入力　発注書'!E52</f>
        <v>246</v>
      </c>
      <c r="E53" s="68">
        <f>'入力　発注書'!J52</f>
        <v>0</v>
      </c>
      <c r="F53" s="66">
        <f t="shared" si="0"/>
        <v>0</v>
      </c>
      <c r="G53" s="69">
        <f t="shared" si="2"/>
        <v>0</v>
      </c>
    </row>
    <row r="54" spans="1:7" ht="13.15" hidden="1" customHeight="1">
      <c r="A54" s="67">
        <f>'入力　発注書'!A53</f>
        <v>41</v>
      </c>
      <c r="B54" s="64" t="str">
        <f>'入力　発注書'!B53</f>
        <v>ブロッコリー</v>
      </c>
      <c r="C54" s="65">
        <f>'入力　発注書'!D53</f>
        <v>108</v>
      </c>
      <c r="D54" s="68">
        <f>'入力　発注書'!E53</f>
        <v>81</v>
      </c>
      <c r="E54" s="68">
        <f>'入力　発注書'!J53</f>
        <v>0</v>
      </c>
      <c r="F54" s="66">
        <f t="shared" si="0"/>
        <v>0</v>
      </c>
      <c r="G54" s="69">
        <f t="shared" si="2"/>
        <v>0</v>
      </c>
    </row>
    <row r="55" spans="1:7" ht="13.15" hidden="1" customHeight="1">
      <c r="A55" s="61">
        <f>'入力　発注書'!A54</f>
        <v>42</v>
      </c>
      <c r="B55" s="64" t="str">
        <f>'入力　発注書'!B54</f>
        <v>シャインマスカット</v>
      </c>
      <c r="C55" s="65">
        <f>'入力　発注書'!D54</f>
        <v>1280</v>
      </c>
      <c r="D55" s="65">
        <f>'入力　発注書'!E54</f>
        <v>960</v>
      </c>
      <c r="E55" s="65">
        <f>'入力　発注書'!J54</f>
        <v>0</v>
      </c>
      <c r="F55" s="66">
        <f t="shared" si="0"/>
        <v>0</v>
      </c>
      <c r="G55" s="66">
        <f t="shared" si="2"/>
        <v>0</v>
      </c>
    </row>
    <row r="56" spans="1:7" ht="15.6" hidden="1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418</v>
      </c>
      <c r="D56" s="68">
        <f>'入力　発注書'!E55</f>
        <v>314</v>
      </c>
      <c r="E56" s="68">
        <f>'入力　発注書'!J55</f>
        <v>0</v>
      </c>
      <c r="F56" s="66">
        <f t="shared" si="0"/>
        <v>0</v>
      </c>
      <c r="G56" s="69">
        <f t="shared" si="2"/>
        <v>0</v>
      </c>
    </row>
    <row r="57" spans="1:7" ht="15.6" hidden="1" customHeight="1">
      <c r="A57" s="67">
        <f>'入力　発注書'!A56</f>
        <v>44</v>
      </c>
      <c r="B57" s="64" t="str">
        <f>'入力　発注書'!B56</f>
        <v>オレンジ３個</v>
      </c>
      <c r="C57" s="65">
        <f>'入力　発注書'!D56</f>
        <v>398</v>
      </c>
      <c r="D57" s="68">
        <f>'入力　発注書'!E56</f>
        <v>299</v>
      </c>
      <c r="E57" s="68">
        <f>'入力　発注書'!J56</f>
        <v>0</v>
      </c>
      <c r="F57" s="66">
        <f t="shared" si="0"/>
        <v>0</v>
      </c>
      <c r="G57" s="69">
        <f t="shared" si="2"/>
        <v>0</v>
      </c>
    </row>
    <row r="58" spans="1:7" ht="15.6" hidden="1" customHeight="1" thickBot="1">
      <c r="A58" s="67">
        <f>'入力　発注書'!A57</f>
        <v>45</v>
      </c>
      <c r="B58" s="64" t="str">
        <f>'入力　発注書'!B57</f>
        <v>もも1個</v>
      </c>
      <c r="C58" s="65">
        <f>'入力　発注書'!D57</f>
        <v>200</v>
      </c>
      <c r="D58" s="68">
        <f>'入力　発注書'!E57</f>
        <v>150</v>
      </c>
      <c r="E58" s="68">
        <f>'入力　発注書'!J57</f>
        <v>0</v>
      </c>
      <c r="F58" s="66">
        <f t="shared" si="0"/>
        <v>0</v>
      </c>
      <c r="G58" s="69">
        <f t="shared" si="2"/>
        <v>0</v>
      </c>
    </row>
    <row r="59" spans="1:7" ht="15.6" hidden="1" customHeight="1">
      <c r="A59" s="67">
        <f>'入力　発注書'!A58</f>
        <v>46</v>
      </c>
      <c r="B59" s="64" t="str">
        <f>'入力　発注書'!B58</f>
        <v>デラウエア</v>
      </c>
      <c r="C59" s="65">
        <f>'入力　発注書'!D58</f>
        <v>398</v>
      </c>
      <c r="D59" s="68">
        <f>'入力　発注書'!E58</f>
        <v>299</v>
      </c>
      <c r="E59" s="68">
        <f>'入力　発注書'!J58</f>
        <v>0</v>
      </c>
      <c r="F59" s="66">
        <f t="shared" si="0"/>
        <v>0</v>
      </c>
      <c r="G59" s="69">
        <f t="shared" si="2"/>
        <v>0</v>
      </c>
    </row>
    <row r="60" spans="1:7" ht="13.5" hidden="1" customHeight="1">
      <c r="A60" s="67">
        <f>'入力　発注書'!A59</f>
        <v>47</v>
      </c>
      <c r="B60" s="64" t="str">
        <f>'入力　発注書'!B59</f>
        <v>たけのこ水煮</v>
      </c>
      <c r="C60" s="65">
        <f>'入力　発注書'!D59</f>
        <v>178</v>
      </c>
      <c r="D60" s="68">
        <f>'入力　発注書'!E59</f>
        <v>134</v>
      </c>
      <c r="E60" s="68">
        <f>'入力　発注書'!J59</f>
        <v>0</v>
      </c>
      <c r="F60" s="66">
        <f t="shared" si="0"/>
        <v>0</v>
      </c>
      <c r="G60" s="69">
        <f t="shared" si="2"/>
        <v>0</v>
      </c>
    </row>
    <row r="61" spans="1:7" ht="13.5" hidden="1" customHeight="1" thickBot="1">
      <c r="A61" s="67">
        <f>'入力　発注書'!A60</f>
        <v>48</v>
      </c>
      <c r="B61" s="64" t="str">
        <f>'入力　発注書'!B60</f>
        <v>豚汁の具</v>
      </c>
      <c r="C61" s="65">
        <f>'入力　発注書'!D60</f>
        <v>178</v>
      </c>
      <c r="D61" s="68">
        <f>'入力　発注書'!E60</f>
        <v>134</v>
      </c>
      <c r="E61" s="68">
        <f>'入力　発注書'!J60</f>
        <v>0</v>
      </c>
      <c r="F61" s="66">
        <f t="shared" si="0"/>
        <v>0</v>
      </c>
      <c r="G61" s="69">
        <f t="shared" si="2"/>
        <v>0</v>
      </c>
    </row>
    <row r="62" spans="1:7" ht="13.5" hidden="1" customHeight="1">
      <c r="A62" s="67">
        <f>'入力　発注書'!A61</f>
        <v>49</v>
      </c>
      <c r="B62" s="64" t="str">
        <f>'入力　発注書'!B61</f>
        <v>メロン</v>
      </c>
      <c r="C62" s="65">
        <f>'入力　発注書'!D61</f>
        <v>580</v>
      </c>
      <c r="D62" s="68">
        <f>'入力　発注書'!E61</f>
        <v>435</v>
      </c>
      <c r="E62" s="68">
        <f>'入力　発注書'!J61</f>
        <v>0</v>
      </c>
      <c r="F62" s="66">
        <f t="shared" si="0"/>
        <v>0</v>
      </c>
      <c r="G62" s="69">
        <f t="shared" si="2"/>
        <v>0</v>
      </c>
    </row>
    <row r="63" spans="1:7" ht="13.5" hidden="1" customHeight="1">
      <c r="A63" s="67">
        <f>'入力　発注書'!A62</f>
        <v>50</v>
      </c>
      <c r="B63" s="64" t="str">
        <f>'入力　発注書'!B62</f>
        <v>ブドウ</v>
      </c>
      <c r="C63" s="65">
        <f>'入力　発注書'!D62</f>
        <v>498</v>
      </c>
      <c r="D63" s="68">
        <f>'入力　発注書'!E62</f>
        <v>374</v>
      </c>
      <c r="E63" s="68">
        <f>'入力　発注書'!J62</f>
        <v>0</v>
      </c>
      <c r="F63" s="66">
        <f t="shared" si="0"/>
        <v>0</v>
      </c>
      <c r="G63" s="69">
        <f t="shared" si="2"/>
        <v>0</v>
      </c>
    </row>
    <row r="64" spans="1:7" ht="13.5" hidden="1" customHeight="1" thickBot="1">
      <c r="A64" s="67">
        <f>'入力　発注書'!A63</f>
        <v>51</v>
      </c>
      <c r="B64" s="64" t="str">
        <f>'入力　発注書'!B63</f>
        <v>イチゴ</v>
      </c>
      <c r="C64" s="65">
        <f>'入力　発注書'!D63</f>
        <v>498</v>
      </c>
      <c r="D64" s="68">
        <f>'入力　発注書'!E63</f>
        <v>374</v>
      </c>
      <c r="E64" s="68">
        <f>'入力　発注書'!J63</f>
        <v>0</v>
      </c>
      <c r="F64" s="66">
        <f t="shared" si="0"/>
        <v>0</v>
      </c>
      <c r="G64" s="69">
        <f t="shared" si="2"/>
        <v>0</v>
      </c>
    </row>
    <row r="65" spans="1:7" ht="13.5" hidden="1" customHeigh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発注書'!J64</f>
        <v>0</v>
      </c>
      <c r="F65" s="66">
        <f t="shared" si="0"/>
        <v>0</v>
      </c>
      <c r="G65" s="69">
        <f t="shared" si="2"/>
        <v>0</v>
      </c>
    </row>
    <row r="66" spans="1:7" ht="13.5" hidden="1" customHeigh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発注書'!J65</f>
        <v>0</v>
      </c>
      <c r="F66" s="66">
        <f t="shared" si="0"/>
        <v>0</v>
      </c>
      <c r="G66" s="69">
        <f t="shared" si="2"/>
        <v>0</v>
      </c>
    </row>
    <row r="67" spans="1:7" ht="13.5" hidden="1" customHeight="1" thickBo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発注書'!J66</f>
        <v>0</v>
      </c>
      <c r="F67" s="66">
        <f t="shared" si="0"/>
        <v>0</v>
      </c>
      <c r="G67" s="69">
        <f t="shared" si="2"/>
        <v>0</v>
      </c>
    </row>
    <row r="68" spans="1:7" ht="13.5" hidden="1" customHeigh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発注書'!J67</f>
        <v>0</v>
      </c>
      <c r="F68" s="66">
        <f t="shared" si="0"/>
        <v>0</v>
      </c>
      <c r="G68" s="69">
        <f t="shared" si="2"/>
        <v>0</v>
      </c>
    </row>
    <row r="69" spans="1:7" ht="13.5" hidden="1" customHeight="1">
      <c r="A69" s="67">
        <f>'入力　発注書'!A68</f>
        <v>56</v>
      </c>
      <c r="B69" s="64" t="str">
        <f>'入力　発注書'!B68</f>
        <v>新玉ねぎ</v>
      </c>
      <c r="C69" s="65">
        <f>'入力　発注書'!D68</f>
        <v>218</v>
      </c>
      <c r="D69" s="68">
        <f>'入力　発注書'!E68</f>
        <v>164</v>
      </c>
      <c r="E69" s="68">
        <f>'入力　発注書'!J68</f>
        <v>0</v>
      </c>
      <c r="F69" s="66">
        <f t="shared" si="0"/>
        <v>0</v>
      </c>
      <c r="G69" s="69">
        <f t="shared" si="2"/>
        <v>0</v>
      </c>
    </row>
    <row r="70" spans="1:7" ht="13.5" hidden="1" customHeight="1" thickBot="1">
      <c r="A70" s="70">
        <f>'入力　発注書'!A69</f>
        <v>57</v>
      </c>
      <c r="B70" s="64" t="str">
        <f>'入力　発注書'!B69</f>
        <v>切り干し大根</v>
      </c>
      <c r="C70" s="65">
        <f>'入力　発注書'!D69</f>
        <v>238</v>
      </c>
      <c r="D70" s="68">
        <f>'入力　発注書'!E69</f>
        <v>179</v>
      </c>
      <c r="E70" s="68">
        <f>'入力　発注書'!J69</f>
        <v>0</v>
      </c>
      <c r="F70" s="66">
        <f t="shared" si="0"/>
        <v>0</v>
      </c>
      <c r="G70" s="69">
        <f t="shared" si="2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発注書'!J70</f>
        <v>0</v>
      </c>
      <c r="E71" s="73">
        <f>IF(D71&lt;&gt;0,1,0)</f>
        <v>0</v>
      </c>
      <c r="F71" s="73"/>
      <c r="G71" s="74">
        <f>E71*D71</f>
        <v>0</v>
      </c>
    </row>
    <row r="72" spans="1:7" s="38" customFormat="1" ht="16.5" customHeight="1" thickTop="1">
      <c r="A72" s="90"/>
      <c r="B72" s="92" t="s">
        <v>39</v>
      </c>
      <c r="C72" s="59"/>
      <c r="D72" s="94" t="s">
        <v>44</v>
      </c>
      <c r="E72" s="95"/>
      <c r="F72" s="40">
        <f>SUM(F14:F70)</f>
        <v>0</v>
      </c>
      <c r="G72" s="40">
        <f>SUM(G14:G70)</f>
        <v>0</v>
      </c>
    </row>
    <row r="73" spans="1:7" s="38" customFormat="1" ht="16.5" customHeight="1">
      <c r="A73" s="91"/>
      <c r="B73" s="93"/>
      <c r="C73" s="60"/>
      <c r="D73" s="96" t="s">
        <v>45</v>
      </c>
      <c r="E73" s="97"/>
      <c r="F73" s="37"/>
      <c r="G73" s="37">
        <f>G71</f>
        <v>0</v>
      </c>
    </row>
    <row r="74" spans="1:7" ht="14.25" customHeight="1">
      <c r="B74" s="39" t="s">
        <v>46</v>
      </c>
      <c r="C74" s="39"/>
    </row>
  </sheetData>
  <sheetProtection sheet="1" selectLockedCells="1" autoFilter="0" selectUnlockedCells="1"/>
  <autoFilter ref="A13:G74" xr:uid="{9F168BD2-722D-4F1F-95BC-CA982854E6A7}">
    <filterColumn colId="6">
      <filters blank="1">
        <filter val="1,458"/>
        <filter val="162"/>
        <filter val="192"/>
        <filter val="208"/>
        <filter val="550"/>
        <filter val="688"/>
      </filters>
    </filterColumn>
  </autoFilter>
  <mergeCells count="17">
    <mergeCell ref="F12:G12"/>
    <mergeCell ref="F11:G11"/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</mergeCells>
  <phoneticPr fontId="3"/>
  <pageMargins left="0.51181102362204722" right="0.11811023622047245" top="0.35433070866141736" bottom="0.15748031496062992" header="0.31496062992125984" footer="0.31496062992125984"/>
  <pageSetup paperSize="11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989E-9052-41FA-B67B-2FE66B1F3AD5}">
  <sheetPr filterMode="1">
    <tabColor rgb="FFFFFFCC"/>
    <pageSetUpPr fitToPage="1"/>
  </sheetPr>
  <dimension ref="A1:L74"/>
  <sheetViews>
    <sheetView workbookViewId="0">
      <selection activeCell="I85" sqref="I85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23</v>
      </c>
    </row>
    <row r="2" spans="1:12" customFormat="1" ht="24" customHeight="1" thickBot="1">
      <c r="B2" s="76" t="s">
        <v>38</v>
      </c>
      <c r="C2" s="87">
        <f>'入力　発注書'!D8</f>
        <v>46231</v>
      </c>
      <c r="D2" s="87"/>
      <c r="E2" s="87"/>
      <c r="F2" s="1"/>
    </row>
    <row r="3" spans="1:12" ht="9.6" customHeight="1" thickTop="1"/>
    <row r="4" spans="1:12" ht="14.45" customHeight="1">
      <c r="D4" s="98" t="s">
        <v>24</v>
      </c>
      <c r="E4" s="98"/>
      <c r="F4" s="98"/>
      <c r="G4" s="98"/>
    </row>
    <row r="5" spans="1:12" ht="14.45" customHeight="1">
      <c r="D5" s="99" t="s">
        <v>25</v>
      </c>
      <c r="E5" s="99"/>
      <c r="F5" s="99"/>
      <c r="G5" s="99"/>
    </row>
    <row r="6" spans="1:12" ht="13.5" customHeight="1">
      <c r="E6" s="109" t="s">
        <v>27</v>
      </c>
      <c r="F6" s="109"/>
      <c r="G6" s="109"/>
    </row>
    <row r="7" spans="1:12" ht="13.5" customHeight="1">
      <c r="B7" s="2"/>
      <c r="C7" s="2"/>
      <c r="D7" s="8"/>
      <c r="E7" s="109" t="s">
        <v>28</v>
      </c>
      <c r="F7" s="109"/>
      <c r="G7" s="109"/>
      <c r="K7" s="4"/>
      <c r="L7" s="4"/>
    </row>
    <row r="8" spans="1:12" s="3" customFormat="1" ht="24.6" customHeight="1" thickBot="1">
      <c r="B8" s="77" t="s">
        <v>0</v>
      </c>
      <c r="C8" s="86" t="s">
        <v>29</v>
      </c>
      <c r="D8" s="86"/>
      <c r="E8" s="86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52</v>
      </c>
      <c r="C11" s="88">
        <f>G72+G73</f>
        <v>0</v>
      </c>
      <c r="D11" s="88"/>
      <c r="E11" s="89"/>
      <c r="F11" s="84" t="s">
        <v>53</v>
      </c>
      <c r="G11" s="85"/>
    </row>
    <row r="12" spans="1:12" ht="16.5" customHeight="1" thickTop="1">
      <c r="A12" s="100"/>
      <c r="B12" s="102" t="s">
        <v>36</v>
      </c>
      <c r="C12" s="104" t="s">
        <v>51</v>
      </c>
      <c r="D12" s="104"/>
      <c r="E12" s="105" t="s">
        <v>37</v>
      </c>
      <c r="F12" s="107" t="s">
        <v>50</v>
      </c>
      <c r="G12" s="107"/>
    </row>
    <row r="13" spans="1:12" ht="16.5" customHeight="1">
      <c r="A13" s="101"/>
      <c r="B13" s="103"/>
      <c r="C13" s="63" t="s">
        <v>48</v>
      </c>
      <c r="D13" s="62" t="s">
        <v>49</v>
      </c>
      <c r="E13" s="106"/>
      <c r="F13" s="63" t="s">
        <v>48</v>
      </c>
      <c r="G13" s="62" t="s">
        <v>49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218</v>
      </c>
      <c r="D14" s="65">
        <f>'入力　発注書'!E13</f>
        <v>164</v>
      </c>
      <c r="E14" s="65">
        <f>'入力　発注書'!K13</f>
        <v>0</v>
      </c>
      <c r="F14" s="66">
        <f>$E14*C14</f>
        <v>0</v>
      </c>
      <c r="G14" s="66">
        <f>$E14*D14</f>
        <v>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発注書'!K14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customHeight="1">
      <c r="A16" s="61">
        <f>'入力　発注書'!A15</f>
        <v>3</v>
      </c>
      <c r="B16" s="64" t="str">
        <f>'入力　発注書'!B15</f>
        <v>玉ねぎS</v>
      </c>
      <c r="C16" s="65">
        <f>'入力　発注書'!D15</f>
        <v>138</v>
      </c>
      <c r="D16" s="65">
        <f>'入力　発注書'!E15</f>
        <v>104</v>
      </c>
      <c r="E16" s="65">
        <f>'入力　発注書'!K15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里芋</v>
      </c>
      <c r="C17" s="65">
        <f>'入力　発注書'!D16</f>
        <v>198</v>
      </c>
      <c r="D17" s="68">
        <f>'入力　発注書'!E16</f>
        <v>149</v>
      </c>
      <c r="E17" s="68">
        <f>'入力　発注書'!K16</f>
        <v>0</v>
      </c>
      <c r="F17" s="66">
        <f t="shared" si="0"/>
        <v>0</v>
      </c>
      <c r="G17" s="69">
        <f t="shared" si="1"/>
        <v>0</v>
      </c>
    </row>
    <row r="18" spans="1:7" ht="13.15" hidden="1" customHeight="1" thickBot="1">
      <c r="A18" s="67">
        <f>'入力　発注書'!A17</f>
        <v>5</v>
      </c>
      <c r="B18" s="64" t="str">
        <f>'入力　発注書'!B17</f>
        <v>人参</v>
      </c>
      <c r="C18" s="65">
        <f>'入力　発注書'!D17</f>
        <v>128</v>
      </c>
      <c r="D18" s="68">
        <f>'入力　発注書'!E17</f>
        <v>96</v>
      </c>
      <c r="E18" s="68">
        <f>'入力　発注書'!K17</f>
        <v>0</v>
      </c>
      <c r="F18" s="66">
        <f t="shared" si="0"/>
        <v>0</v>
      </c>
      <c r="G18" s="69">
        <f t="shared" si="1"/>
        <v>0</v>
      </c>
    </row>
    <row r="19" spans="1:7" ht="13.15" hidden="1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96</v>
      </c>
      <c r="E19" s="65">
        <f>'入力　発注書'!K18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138</v>
      </c>
      <c r="D20" s="68">
        <f>'入力　発注書'!E19</f>
        <v>104</v>
      </c>
      <c r="E20" s="68">
        <f>'入力　発注書'!K19</f>
        <v>0</v>
      </c>
      <c r="F20" s="66">
        <f t="shared" si="0"/>
        <v>0</v>
      </c>
      <c r="G20" s="69">
        <f t="shared" si="1"/>
        <v>0</v>
      </c>
    </row>
    <row r="21" spans="1:7" ht="13.15" hidden="1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288</v>
      </c>
      <c r="D21" s="65">
        <f>'入力　発注書'!E20</f>
        <v>216</v>
      </c>
      <c r="E21" s="65">
        <f>'入力　発注書'!K20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フルーツトマト</v>
      </c>
      <c r="C22" s="65">
        <f>'入力　発注書'!D21</f>
        <v>238</v>
      </c>
      <c r="D22" s="68">
        <f>'入力　発注書'!E21</f>
        <v>179</v>
      </c>
      <c r="E22" s="68">
        <f>'入力　発注書'!K21</f>
        <v>0</v>
      </c>
      <c r="F22" s="66">
        <f t="shared" si="0"/>
        <v>0</v>
      </c>
      <c r="G22" s="69">
        <f t="shared" si="1"/>
        <v>0</v>
      </c>
    </row>
    <row r="23" spans="1:7" ht="13.15" hidden="1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298</v>
      </c>
      <c r="D23" s="68">
        <f>'入力　発注書'!E22</f>
        <v>224</v>
      </c>
      <c r="E23" s="68">
        <f>'入力　発注書'!K22</f>
        <v>0</v>
      </c>
      <c r="F23" s="66">
        <f t="shared" si="0"/>
        <v>0</v>
      </c>
      <c r="G23" s="69">
        <f t="shared" si="1"/>
        <v>0</v>
      </c>
    </row>
    <row r="24" spans="1:7" ht="13.15" hidden="1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198</v>
      </c>
      <c r="D24" s="68">
        <f>'入力　発注書'!E23</f>
        <v>149</v>
      </c>
      <c r="E24" s="68">
        <f>'入力　発注書'!K23</f>
        <v>0</v>
      </c>
      <c r="F24" s="66">
        <f t="shared" si="0"/>
        <v>0</v>
      </c>
      <c r="G24" s="69">
        <f t="shared" si="1"/>
        <v>0</v>
      </c>
    </row>
    <row r="25" spans="1:7" ht="13.15" hidden="1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198</v>
      </c>
      <c r="D25" s="65">
        <f>'入力　発注書'!E24</f>
        <v>149</v>
      </c>
      <c r="E25" s="65">
        <f>'入力　発注書'!K24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キャベツ1個</v>
      </c>
      <c r="C26" s="65">
        <f>'入力　発注書'!D25</f>
        <v>248</v>
      </c>
      <c r="D26" s="68">
        <f>'入力　発注書'!E25</f>
        <v>186</v>
      </c>
      <c r="E26" s="68">
        <f>'入力　発注書'!K25</f>
        <v>0</v>
      </c>
      <c r="F26" s="66">
        <f t="shared" si="0"/>
        <v>0</v>
      </c>
      <c r="G26" s="69">
        <f t="shared" si="1"/>
        <v>0</v>
      </c>
    </row>
    <row r="27" spans="1:7" ht="13.15" hidden="1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98</v>
      </c>
      <c r="D27" s="65">
        <f>'入力　発注書'!E26</f>
        <v>74</v>
      </c>
      <c r="E27" s="65">
        <f>'入力　発注書'!K26</f>
        <v>0</v>
      </c>
      <c r="F27" s="66">
        <f t="shared" si="0"/>
        <v>0</v>
      </c>
      <c r="G27" s="66">
        <f t="shared" si="1"/>
        <v>0</v>
      </c>
    </row>
    <row r="28" spans="1:7" ht="13.15" hidden="1" customHeight="1">
      <c r="A28" s="67">
        <f>'入力　発注書'!A27</f>
        <v>15</v>
      </c>
      <c r="B28" s="64" t="str">
        <f>'入力　発注書'!B27</f>
        <v>白菜1/2個</v>
      </c>
      <c r="C28" s="65">
        <f>'入力　発注書'!D27</f>
        <v>248</v>
      </c>
      <c r="D28" s="68">
        <f>'入力　発注書'!E27</f>
        <v>186</v>
      </c>
      <c r="E28" s="68">
        <f>'入力　発注書'!K27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大根1本</v>
      </c>
      <c r="C29" s="65">
        <f>'入力　発注書'!D28</f>
        <v>128</v>
      </c>
      <c r="D29" s="68">
        <f>'入力　発注書'!E28</f>
        <v>96</v>
      </c>
      <c r="E29" s="68">
        <f>'入力　発注書'!K28</f>
        <v>0</v>
      </c>
      <c r="F29" s="66">
        <f t="shared" si="0"/>
        <v>0</v>
      </c>
      <c r="G29" s="69">
        <f t="shared" si="1"/>
        <v>0</v>
      </c>
    </row>
    <row r="30" spans="1:7" ht="13.15" hidden="1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158</v>
      </c>
      <c r="D30" s="65">
        <f>'入力　発注書'!E29</f>
        <v>119</v>
      </c>
      <c r="E30" s="65">
        <f>'入力　発注書'!K29</f>
        <v>0</v>
      </c>
      <c r="F30" s="66">
        <f t="shared" si="0"/>
        <v>0</v>
      </c>
      <c r="G30" s="66">
        <f t="shared" si="1"/>
        <v>0</v>
      </c>
    </row>
    <row r="31" spans="1:7" ht="13.15" hidden="1" customHeight="1">
      <c r="A31" s="67">
        <f>'入力　発注書'!A30</f>
        <v>18</v>
      </c>
      <c r="B31" s="64" t="str">
        <f>'入力　発注書'!B30</f>
        <v>レタス</v>
      </c>
      <c r="C31" s="65">
        <f>'入力　発注書'!D30</f>
        <v>198</v>
      </c>
      <c r="D31" s="68">
        <f>'入力　発注書'!E30</f>
        <v>149</v>
      </c>
      <c r="E31" s="68">
        <f>'入力　発注書'!K30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98</v>
      </c>
      <c r="D32" s="68">
        <f>'入力　発注書'!E31</f>
        <v>74</v>
      </c>
      <c r="E32" s="68">
        <f>'入力　発注書'!K31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発注書'!K32</f>
        <v>0</v>
      </c>
      <c r="F33" s="66">
        <f t="shared" si="0"/>
        <v>0</v>
      </c>
      <c r="G33" s="69">
        <f t="shared" si="1"/>
        <v>0</v>
      </c>
    </row>
    <row r="34" spans="1:7" ht="13.15" hidden="1" customHeight="1">
      <c r="A34" s="67">
        <f>'入力　発注書'!A33</f>
        <v>21</v>
      </c>
      <c r="B34" s="64" t="str">
        <f>'入力　発注書'!B33</f>
        <v>茄子2本</v>
      </c>
      <c r="C34" s="65">
        <f>'入力　発注書'!D33</f>
        <v>178</v>
      </c>
      <c r="D34" s="68">
        <f>'入力　発注書'!E33</f>
        <v>134</v>
      </c>
      <c r="E34" s="68">
        <f>'入力　発注書'!K33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238</v>
      </c>
      <c r="D35" s="68">
        <f>'入力　発注書'!E34</f>
        <v>179</v>
      </c>
      <c r="E35" s="68">
        <f>'入力　発注書'!K34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248</v>
      </c>
      <c r="D36" s="68">
        <f>'入力　発注書'!E35</f>
        <v>186</v>
      </c>
      <c r="E36" s="68">
        <f>'入力　発注書'!K35</f>
        <v>0</v>
      </c>
      <c r="F36" s="66">
        <f t="shared" si="0"/>
        <v>0</v>
      </c>
      <c r="G36" s="69">
        <f t="shared" si="1"/>
        <v>0</v>
      </c>
    </row>
    <row r="37" spans="1:7" ht="13.15" customHeight="1" thickBo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198</v>
      </c>
      <c r="D37" s="68">
        <f>'入力　発注書'!E36</f>
        <v>149</v>
      </c>
      <c r="E37" s="68">
        <f>'入力　発注書'!K36</f>
        <v>0</v>
      </c>
      <c r="F37" s="66">
        <f t="shared" si="0"/>
        <v>0</v>
      </c>
      <c r="G37" s="69">
        <f t="shared" si="1"/>
        <v>0</v>
      </c>
    </row>
    <row r="38" spans="1:7" ht="13.15" hidden="1" customHeight="1">
      <c r="A38" s="67">
        <f>'入力　発注書'!A37</f>
        <v>25</v>
      </c>
      <c r="B38" s="64" t="str">
        <f>'入力　発注書'!B37</f>
        <v>ほうれん草</v>
      </c>
      <c r="C38" s="65">
        <f>'入力　発注書'!D37</f>
        <v>198</v>
      </c>
      <c r="D38" s="68">
        <f>'入力　発注書'!E37</f>
        <v>149</v>
      </c>
      <c r="E38" s="68">
        <f>'入力　発注書'!K37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111</v>
      </c>
      <c r="E39" s="68">
        <f>'入力　発注書'!K38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148</v>
      </c>
      <c r="D40" s="68">
        <f>'入力　発注書'!E39</f>
        <v>111</v>
      </c>
      <c r="E40" s="68">
        <f>'入力　発注書'!K39</f>
        <v>0</v>
      </c>
      <c r="F40" s="66">
        <f t="shared" si="0"/>
        <v>0</v>
      </c>
      <c r="G40" s="69">
        <f t="shared" si="1"/>
        <v>0</v>
      </c>
    </row>
    <row r="41" spans="1:7" ht="13.15" hidden="1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178</v>
      </c>
      <c r="D41" s="65">
        <f>'入力　発注書'!E40</f>
        <v>134</v>
      </c>
      <c r="E41" s="65">
        <f>'入力　発注書'!K40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発注書'!K41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発注書'!K42</f>
        <v>0</v>
      </c>
      <c r="F43" s="66">
        <f t="shared" si="0"/>
        <v>0</v>
      </c>
      <c r="G43" s="69">
        <f t="shared" si="1"/>
        <v>0</v>
      </c>
    </row>
    <row r="44" spans="1:7" ht="13.15" hidden="1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108</v>
      </c>
      <c r="D44" s="68">
        <f>'入力　発注書'!E43</f>
        <v>81</v>
      </c>
      <c r="E44" s="68">
        <f>'入力　発注書'!K43</f>
        <v>0</v>
      </c>
      <c r="F44" s="66">
        <f t="shared" si="0"/>
        <v>0</v>
      </c>
      <c r="G44" s="69">
        <f t="shared" si="1"/>
        <v>0</v>
      </c>
    </row>
    <row r="45" spans="1:7" ht="13.15" hidden="1" customHeight="1">
      <c r="A45" s="67">
        <f>'入力　発注書'!A44</f>
        <v>32</v>
      </c>
      <c r="B45" s="64" t="str">
        <f>'入力　発注書'!B44</f>
        <v>にら</v>
      </c>
      <c r="C45" s="65">
        <f>'入力　発注書'!D44</f>
        <v>98</v>
      </c>
      <c r="D45" s="68">
        <f>'入力　発注書'!E44</f>
        <v>74</v>
      </c>
      <c r="E45" s="68">
        <f>'入力　発注書'!K44</f>
        <v>0</v>
      </c>
      <c r="F45" s="66">
        <f t="shared" si="0"/>
        <v>0</v>
      </c>
      <c r="G45" s="69">
        <f t="shared" si="1"/>
        <v>0</v>
      </c>
    </row>
    <row r="46" spans="1:7" ht="13.15" hidden="1" customHeight="1" thickBo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発注書'!K45</f>
        <v>0</v>
      </c>
      <c r="F46" s="66">
        <f t="shared" si="0"/>
        <v>0</v>
      </c>
      <c r="G46" s="69">
        <f t="shared" ref="G46:G71" si="2">E46*D46</f>
        <v>0</v>
      </c>
    </row>
    <row r="47" spans="1:7" ht="13.15" hidden="1" customHeight="1">
      <c r="A47" s="61">
        <f>'入力　発注書'!A46</f>
        <v>34</v>
      </c>
      <c r="B47" s="64" t="str">
        <f>'入力　発注書'!B46</f>
        <v>中国ニンニク</v>
      </c>
      <c r="C47" s="65">
        <f>'入力　発注書'!D46</f>
        <v>168</v>
      </c>
      <c r="D47" s="65">
        <f>'入力　発注書'!E46</f>
        <v>126</v>
      </c>
      <c r="E47" s="65">
        <f>'入力　発注書'!K46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>
      <c r="A48" s="67">
        <f>'入力　発注書'!A47</f>
        <v>35</v>
      </c>
      <c r="B48" s="64" t="str">
        <f>'入力　発注書'!B47</f>
        <v>みょうが</v>
      </c>
      <c r="C48" s="65">
        <f>'入力　発注書'!D47</f>
        <v>198</v>
      </c>
      <c r="D48" s="68">
        <f>'入力　発注書'!E47</f>
        <v>149</v>
      </c>
      <c r="E48" s="68">
        <f>'入力　発注書'!K47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 thickBo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138</v>
      </c>
      <c r="D49" s="68">
        <f>'入力　発注書'!E48</f>
        <v>104</v>
      </c>
      <c r="E49" s="68">
        <f>'入力　発注書'!K48</f>
        <v>0</v>
      </c>
      <c r="F49" s="66">
        <f t="shared" si="0"/>
        <v>0</v>
      </c>
      <c r="G49" s="69">
        <f t="shared" si="2"/>
        <v>0</v>
      </c>
    </row>
    <row r="50" spans="1:7" ht="13.15" hidden="1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538</v>
      </c>
      <c r="D50" s="68">
        <f>'入力　発注書'!E49</f>
        <v>404</v>
      </c>
      <c r="E50" s="68">
        <f>'入力　発注書'!K49</f>
        <v>0</v>
      </c>
      <c r="F50" s="66">
        <f t="shared" si="0"/>
        <v>0</v>
      </c>
      <c r="G50" s="69">
        <f t="shared" si="2"/>
        <v>0</v>
      </c>
    </row>
    <row r="51" spans="1:7" ht="13.15" hidden="1" customHeight="1">
      <c r="A51" s="61">
        <f>'入力　発注書'!A50</f>
        <v>38</v>
      </c>
      <c r="B51" s="64" t="str">
        <f>'入力　発注書'!B50</f>
        <v>とうもろこし</v>
      </c>
      <c r="C51" s="65">
        <f>'入力　発注書'!D50</f>
        <v>128</v>
      </c>
      <c r="D51" s="65">
        <f>'入力　発注書'!E50</f>
        <v>96</v>
      </c>
      <c r="E51" s="65">
        <f>'入力　発注書'!K50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>
      <c r="A52" s="67">
        <f>'入力　発注書'!A51</f>
        <v>39</v>
      </c>
      <c r="B52" s="64" t="str">
        <f>'入力　発注書'!B51</f>
        <v>キウイフルーツ</v>
      </c>
      <c r="C52" s="65">
        <f>'入力　発注書'!D51</f>
        <v>398</v>
      </c>
      <c r="D52" s="68">
        <f>'入力　発注書'!E51</f>
        <v>299</v>
      </c>
      <c r="E52" s="68">
        <f>'入力　発注書'!K51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>
      <c r="A53" s="67">
        <f>'入力　発注書'!A52</f>
        <v>40</v>
      </c>
      <c r="B53" s="64" t="str">
        <f>'入力　発注書'!B52</f>
        <v>枝豆２００g</v>
      </c>
      <c r="C53" s="65">
        <f>'入力　発注書'!D52</f>
        <v>328</v>
      </c>
      <c r="D53" s="68">
        <f>'入力　発注書'!E52</f>
        <v>246</v>
      </c>
      <c r="E53" s="68">
        <f>'入力　発注書'!K52</f>
        <v>0</v>
      </c>
      <c r="F53" s="66">
        <f t="shared" si="0"/>
        <v>0</v>
      </c>
      <c r="G53" s="69">
        <f t="shared" si="2"/>
        <v>0</v>
      </c>
    </row>
    <row r="54" spans="1:7" ht="13.15" hidden="1" customHeight="1">
      <c r="A54" s="67">
        <f>'入力　発注書'!A53</f>
        <v>41</v>
      </c>
      <c r="B54" s="64" t="str">
        <f>'入力　発注書'!B53</f>
        <v>ブロッコリー</v>
      </c>
      <c r="C54" s="65">
        <f>'入力　発注書'!D53</f>
        <v>108</v>
      </c>
      <c r="D54" s="68">
        <f>'入力　発注書'!E53</f>
        <v>81</v>
      </c>
      <c r="E54" s="68">
        <f>'入力　発注書'!K53</f>
        <v>0</v>
      </c>
      <c r="F54" s="66">
        <f t="shared" si="0"/>
        <v>0</v>
      </c>
      <c r="G54" s="69">
        <f t="shared" si="2"/>
        <v>0</v>
      </c>
    </row>
    <row r="55" spans="1:7" ht="13.15" hidden="1" customHeight="1">
      <c r="A55" s="61">
        <f>'入力　発注書'!A54</f>
        <v>42</v>
      </c>
      <c r="B55" s="64" t="str">
        <f>'入力　発注書'!B54</f>
        <v>シャインマスカット</v>
      </c>
      <c r="C55" s="65">
        <f>'入力　発注書'!D54</f>
        <v>1280</v>
      </c>
      <c r="D55" s="65">
        <f>'入力　発注書'!E54</f>
        <v>960</v>
      </c>
      <c r="E55" s="65">
        <f>'入力　発注書'!K54</f>
        <v>0</v>
      </c>
      <c r="F55" s="66">
        <f t="shared" si="0"/>
        <v>0</v>
      </c>
      <c r="G55" s="66">
        <f t="shared" si="2"/>
        <v>0</v>
      </c>
    </row>
    <row r="56" spans="1:7" ht="15.6" hidden="1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418</v>
      </c>
      <c r="D56" s="68">
        <f>'入力　発注書'!E55</f>
        <v>314</v>
      </c>
      <c r="E56" s="68">
        <f>'入力　発注書'!K55</f>
        <v>0</v>
      </c>
      <c r="F56" s="66">
        <f t="shared" si="0"/>
        <v>0</v>
      </c>
      <c r="G56" s="69">
        <f t="shared" si="2"/>
        <v>0</v>
      </c>
    </row>
    <row r="57" spans="1:7" ht="15.6" hidden="1" customHeight="1">
      <c r="A57" s="67">
        <f>'入力　発注書'!A56</f>
        <v>44</v>
      </c>
      <c r="B57" s="64" t="str">
        <f>'入力　発注書'!B56</f>
        <v>オレンジ３個</v>
      </c>
      <c r="C57" s="65">
        <f>'入力　発注書'!D56</f>
        <v>398</v>
      </c>
      <c r="D57" s="68">
        <f>'入力　発注書'!E56</f>
        <v>299</v>
      </c>
      <c r="E57" s="68">
        <f>'入力　発注書'!K56</f>
        <v>0</v>
      </c>
      <c r="F57" s="66">
        <f t="shared" si="0"/>
        <v>0</v>
      </c>
      <c r="G57" s="69">
        <f t="shared" si="2"/>
        <v>0</v>
      </c>
    </row>
    <row r="58" spans="1:7" ht="15.6" hidden="1" customHeight="1">
      <c r="A58" s="67">
        <f>'入力　発注書'!A57</f>
        <v>45</v>
      </c>
      <c r="B58" s="64" t="str">
        <f>'入力　発注書'!B57</f>
        <v>もも1個</v>
      </c>
      <c r="C58" s="65">
        <f>'入力　発注書'!D57</f>
        <v>200</v>
      </c>
      <c r="D58" s="68">
        <f>'入力　発注書'!E57</f>
        <v>150</v>
      </c>
      <c r="E58" s="68">
        <f>'入力　発注書'!K57</f>
        <v>0</v>
      </c>
      <c r="F58" s="66">
        <f t="shared" si="0"/>
        <v>0</v>
      </c>
      <c r="G58" s="69">
        <f t="shared" si="2"/>
        <v>0</v>
      </c>
    </row>
    <row r="59" spans="1:7" ht="15.6" hidden="1" customHeight="1">
      <c r="A59" s="67">
        <f>'入力　発注書'!A58</f>
        <v>46</v>
      </c>
      <c r="B59" s="64" t="str">
        <f>'入力　発注書'!B58</f>
        <v>デラウエア</v>
      </c>
      <c r="C59" s="65">
        <f>'入力　発注書'!D58</f>
        <v>398</v>
      </c>
      <c r="D59" s="68">
        <f>'入力　発注書'!E58</f>
        <v>299</v>
      </c>
      <c r="E59" s="68">
        <f>'入力　発注書'!K58</f>
        <v>0</v>
      </c>
      <c r="F59" s="66">
        <f t="shared" si="0"/>
        <v>0</v>
      </c>
      <c r="G59" s="69">
        <f t="shared" si="2"/>
        <v>0</v>
      </c>
    </row>
    <row r="60" spans="1:7" ht="14.25" hidden="1" customHeight="1">
      <c r="A60" s="67">
        <f>'入力　発注書'!A59</f>
        <v>47</v>
      </c>
      <c r="B60" s="64" t="str">
        <f>'入力　発注書'!B59</f>
        <v>たけのこ水煮</v>
      </c>
      <c r="C60" s="65">
        <f>'入力　発注書'!D59</f>
        <v>178</v>
      </c>
      <c r="D60" s="68">
        <f>'入力　発注書'!E59</f>
        <v>134</v>
      </c>
      <c r="E60" s="68">
        <f>'入力　発注書'!K59</f>
        <v>0</v>
      </c>
      <c r="F60" s="66">
        <f t="shared" si="0"/>
        <v>0</v>
      </c>
      <c r="G60" s="69">
        <f t="shared" si="2"/>
        <v>0</v>
      </c>
    </row>
    <row r="61" spans="1:7" ht="19.5" hidden="1" thickBot="1">
      <c r="A61" s="67">
        <f>'入力　発注書'!A60</f>
        <v>48</v>
      </c>
      <c r="B61" s="64" t="str">
        <f>'入力　発注書'!B60</f>
        <v>豚汁の具</v>
      </c>
      <c r="C61" s="65">
        <f>'入力　発注書'!D60</f>
        <v>178</v>
      </c>
      <c r="D61" s="68">
        <f>'入力　発注書'!E60</f>
        <v>134</v>
      </c>
      <c r="E61" s="68">
        <f>'入力　発注書'!K60</f>
        <v>0</v>
      </c>
      <c r="F61" s="66">
        <f t="shared" si="0"/>
        <v>0</v>
      </c>
      <c r="G61" s="69">
        <f t="shared" si="2"/>
        <v>0</v>
      </c>
    </row>
    <row r="62" spans="1:7" ht="19.5" hidden="1" thickBot="1">
      <c r="A62" s="67">
        <f>'入力　発注書'!A61</f>
        <v>49</v>
      </c>
      <c r="B62" s="64" t="str">
        <f>'入力　発注書'!B61</f>
        <v>メロン</v>
      </c>
      <c r="C62" s="65">
        <f>'入力　発注書'!D61</f>
        <v>580</v>
      </c>
      <c r="D62" s="68">
        <f>'入力　発注書'!E61</f>
        <v>435</v>
      </c>
      <c r="E62" s="68">
        <f>'入力　発注書'!K61</f>
        <v>0</v>
      </c>
      <c r="F62" s="66">
        <f t="shared" si="0"/>
        <v>0</v>
      </c>
      <c r="G62" s="69">
        <f t="shared" si="2"/>
        <v>0</v>
      </c>
    </row>
    <row r="63" spans="1:7" ht="19.5" hidden="1" thickBot="1">
      <c r="A63" s="67">
        <f>'入力　発注書'!A62</f>
        <v>50</v>
      </c>
      <c r="B63" s="64" t="str">
        <f>'入力　発注書'!B62</f>
        <v>ブドウ</v>
      </c>
      <c r="C63" s="65">
        <f>'入力　発注書'!D62</f>
        <v>498</v>
      </c>
      <c r="D63" s="68">
        <f>'入力　発注書'!E62</f>
        <v>374</v>
      </c>
      <c r="E63" s="68">
        <f>'入力　発注書'!K62</f>
        <v>0</v>
      </c>
      <c r="F63" s="66">
        <f t="shared" si="0"/>
        <v>0</v>
      </c>
      <c r="G63" s="69">
        <f t="shared" si="2"/>
        <v>0</v>
      </c>
    </row>
    <row r="64" spans="1:7" ht="19.5" hidden="1" thickBot="1">
      <c r="A64" s="67">
        <f>'入力　発注書'!A63</f>
        <v>51</v>
      </c>
      <c r="B64" s="64" t="str">
        <f>'入力　発注書'!B63</f>
        <v>イチゴ</v>
      </c>
      <c r="C64" s="65">
        <f>'入力　発注書'!D63</f>
        <v>498</v>
      </c>
      <c r="D64" s="68">
        <f>'入力　発注書'!E63</f>
        <v>374</v>
      </c>
      <c r="E64" s="68">
        <f>'入力　発注書'!K63</f>
        <v>0</v>
      </c>
      <c r="F64" s="66">
        <f t="shared" si="0"/>
        <v>0</v>
      </c>
      <c r="G64" s="69">
        <f t="shared" si="2"/>
        <v>0</v>
      </c>
    </row>
    <row r="65" spans="1:7" ht="19.5" hidden="1" thickBo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発注書'!K64</f>
        <v>0</v>
      </c>
      <c r="F65" s="66">
        <f t="shared" si="0"/>
        <v>0</v>
      </c>
      <c r="G65" s="69">
        <f t="shared" si="2"/>
        <v>0</v>
      </c>
    </row>
    <row r="66" spans="1:7" ht="19.5" hidden="1" thickBo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発注書'!K65</f>
        <v>0</v>
      </c>
      <c r="F66" s="66">
        <f t="shared" si="0"/>
        <v>0</v>
      </c>
      <c r="G66" s="69">
        <f t="shared" si="2"/>
        <v>0</v>
      </c>
    </row>
    <row r="67" spans="1:7" ht="19.5" hidden="1" thickBo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発注書'!K66</f>
        <v>0</v>
      </c>
      <c r="F67" s="66">
        <f t="shared" si="0"/>
        <v>0</v>
      </c>
      <c r="G67" s="69">
        <f t="shared" si="2"/>
        <v>0</v>
      </c>
    </row>
    <row r="68" spans="1:7" ht="14.25" hidden="1" customHeigh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発注書'!K67</f>
        <v>0</v>
      </c>
      <c r="F68" s="66">
        <f t="shared" si="0"/>
        <v>0</v>
      </c>
      <c r="G68" s="69">
        <f t="shared" si="2"/>
        <v>0</v>
      </c>
    </row>
    <row r="69" spans="1:7" ht="14.25" hidden="1" customHeight="1">
      <c r="A69" s="67">
        <f>'入力　発注書'!A68</f>
        <v>56</v>
      </c>
      <c r="B69" s="64" t="str">
        <f>'入力　発注書'!B68</f>
        <v>新玉ねぎ</v>
      </c>
      <c r="C69" s="65">
        <f>'入力　発注書'!D68</f>
        <v>218</v>
      </c>
      <c r="D69" s="68">
        <f>'入力　発注書'!E68</f>
        <v>164</v>
      </c>
      <c r="E69" s="68">
        <f>'入力　発注書'!K68</f>
        <v>0</v>
      </c>
      <c r="F69" s="66">
        <f t="shared" si="0"/>
        <v>0</v>
      </c>
      <c r="G69" s="69">
        <f t="shared" si="2"/>
        <v>0</v>
      </c>
    </row>
    <row r="70" spans="1:7" ht="19.5" hidden="1" thickBot="1">
      <c r="A70" s="70">
        <f>'入力　発注書'!A69</f>
        <v>57</v>
      </c>
      <c r="B70" s="64" t="str">
        <f>'入力　発注書'!B69</f>
        <v>切り干し大根</v>
      </c>
      <c r="C70" s="65">
        <f>'入力　発注書'!D69</f>
        <v>238</v>
      </c>
      <c r="D70" s="68">
        <f>'入力　発注書'!E69</f>
        <v>179</v>
      </c>
      <c r="E70" s="68">
        <f>'入力　発注書'!K69</f>
        <v>0</v>
      </c>
      <c r="F70" s="66">
        <f t="shared" si="0"/>
        <v>0</v>
      </c>
      <c r="G70" s="69">
        <f t="shared" si="2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発注書'!K70</f>
        <v>0</v>
      </c>
      <c r="E71" s="73">
        <f>IF(D71&lt;&gt;0,1,0)</f>
        <v>0</v>
      </c>
      <c r="F71" s="73"/>
      <c r="G71" s="74">
        <f t="shared" si="2"/>
        <v>0</v>
      </c>
    </row>
    <row r="72" spans="1:7" s="38" customFormat="1" ht="16.5" customHeight="1" thickTop="1">
      <c r="A72" s="90"/>
      <c r="B72" s="92" t="s">
        <v>39</v>
      </c>
      <c r="C72" s="59"/>
      <c r="D72" s="94" t="s">
        <v>44</v>
      </c>
      <c r="E72" s="95"/>
      <c r="F72" s="40">
        <f>SUM(F14:F70)</f>
        <v>0</v>
      </c>
      <c r="G72" s="40">
        <f>SUM(G14:G70)</f>
        <v>0</v>
      </c>
    </row>
    <row r="73" spans="1:7" s="38" customFormat="1" ht="16.5" customHeight="1">
      <c r="A73" s="91"/>
      <c r="B73" s="93"/>
      <c r="C73" s="60"/>
      <c r="D73" s="96" t="s">
        <v>45</v>
      </c>
      <c r="E73" s="97"/>
      <c r="F73" s="37"/>
      <c r="G73" s="37">
        <f>G71</f>
        <v>0</v>
      </c>
    </row>
    <row r="74" spans="1:7" ht="14.25" customHeight="1">
      <c r="B74" s="39" t="s">
        <v>46</v>
      </c>
      <c r="C74" s="39"/>
    </row>
  </sheetData>
  <sheetProtection sheet="1" selectLockedCells="1" autoFilter="0" selectUnlockedCells="1"/>
  <autoFilter ref="A13:G74" xr:uid="{9F168BD2-722D-4F1F-95BC-CA982854E6A7}">
    <filterColumn colId="6">
      <filters blank="1">
        <filter val="1,640"/>
        <filter val="2,964"/>
        <filter val="208"/>
        <filter val="416"/>
        <filter val="492"/>
        <filter val="550"/>
      </filters>
    </filterColumn>
  </autoFilter>
  <mergeCells count="17">
    <mergeCell ref="F12:G12"/>
    <mergeCell ref="F11:G11"/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</mergeCells>
  <phoneticPr fontId="3"/>
  <pageMargins left="0.51181102362204722" right="0.11811023622047245" top="0.35433070866141736" bottom="0.15748031496062992" header="0.31496062992125984" footer="0.31496062992125984"/>
  <pageSetup paperSize="11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737-02DA-4242-BE35-E5B73D464521}">
  <sheetPr filterMode="1">
    <tabColor rgb="FFFFFFCC"/>
    <pageSetUpPr fitToPage="1"/>
  </sheetPr>
  <dimension ref="A1:L74"/>
  <sheetViews>
    <sheetView workbookViewId="0">
      <selection activeCell="B50" sqref="B50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23</v>
      </c>
    </row>
    <row r="2" spans="1:12" customFormat="1" ht="24" customHeight="1" thickBot="1">
      <c r="B2" s="76" t="s">
        <v>38</v>
      </c>
      <c r="C2" s="87">
        <f>'入力　発注書'!D8</f>
        <v>46231</v>
      </c>
      <c r="D2" s="87"/>
      <c r="E2" s="87"/>
      <c r="F2" s="1"/>
    </row>
    <row r="3" spans="1:12" ht="9.6" customHeight="1" thickTop="1"/>
    <row r="4" spans="1:12" ht="14.45" customHeight="1">
      <c r="D4" s="98" t="s">
        <v>24</v>
      </c>
      <c r="E4" s="98"/>
      <c r="F4" s="98"/>
      <c r="G4" s="98"/>
    </row>
    <row r="5" spans="1:12" ht="14.45" customHeight="1">
      <c r="D5" s="99" t="s">
        <v>25</v>
      </c>
      <c r="E5" s="99"/>
      <c r="F5" s="99"/>
      <c r="G5" s="99"/>
    </row>
    <row r="6" spans="1:12" ht="13.5" customHeight="1">
      <c r="E6" s="109" t="s">
        <v>27</v>
      </c>
      <c r="F6" s="109"/>
      <c r="G6" s="109"/>
    </row>
    <row r="7" spans="1:12" ht="13.5" customHeight="1">
      <c r="B7" s="2"/>
      <c r="C7" s="2"/>
      <c r="D7" s="8"/>
      <c r="E7" s="109" t="s">
        <v>28</v>
      </c>
      <c r="F7" s="109"/>
      <c r="G7" s="109"/>
      <c r="K7" s="4"/>
      <c r="L7" s="4"/>
    </row>
    <row r="8" spans="1:12" s="3" customFormat="1" ht="24.6" customHeight="1" thickBot="1">
      <c r="B8" s="77" t="s">
        <v>0</v>
      </c>
      <c r="C8" s="86" t="s">
        <v>30</v>
      </c>
      <c r="D8" s="86"/>
      <c r="E8" s="86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52</v>
      </c>
      <c r="C11" s="88">
        <f>G72+G73</f>
        <v>0</v>
      </c>
      <c r="D11" s="88"/>
      <c r="E11" s="89"/>
      <c r="F11" s="84" t="s">
        <v>53</v>
      </c>
      <c r="G11" s="85"/>
    </row>
    <row r="12" spans="1:12" ht="16.5" customHeight="1" thickTop="1">
      <c r="A12" s="100"/>
      <c r="B12" s="102" t="s">
        <v>36</v>
      </c>
      <c r="C12" s="110" t="s">
        <v>51</v>
      </c>
      <c r="D12" s="110"/>
      <c r="E12" s="105" t="s">
        <v>37</v>
      </c>
      <c r="F12" s="107" t="s">
        <v>50</v>
      </c>
      <c r="G12" s="107"/>
    </row>
    <row r="13" spans="1:12" ht="16.5" customHeight="1">
      <c r="A13" s="101"/>
      <c r="B13" s="103"/>
      <c r="C13" s="63" t="s">
        <v>48</v>
      </c>
      <c r="D13" s="62" t="s">
        <v>49</v>
      </c>
      <c r="E13" s="106"/>
      <c r="F13" s="63" t="s">
        <v>48</v>
      </c>
      <c r="G13" s="62" t="s">
        <v>49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218</v>
      </c>
      <c r="D14" s="65">
        <f>'入力　発注書'!E13</f>
        <v>164</v>
      </c>
      <c r="E14" s="65">
        <f>'入力　発注書'!L13</f>
        <v>0</v>
      </c>
      <c r="F14" s="66">
        <f>$E14*C14</f>
        <v>0</v>
      </c>
      <c r="G14" s="66">
        <f>$E14*D14</f>
        <v>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発注書'!L14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customHeight="1">
      <c r="A16" s="61">
        <f>'入力　発注書'!A15</f>
        <v>3</v>
      </c>
      <c r="B16" s="64" t="str">
        <f>'入力　発注書'!B15</f>
        <v>玉ねぎS</v>
      </c>
      <c r="C16" s="65">
        <f>'入力　発注書'!D15</f>
        <v>138</v>
      </c>
      <c r="D16" s="65">
        <f>'入力　発注書'!E15</f>
        <v>104</v>
      </c>
      <c r="E16" s="65">
        <f>'入力　発注書'!L15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里芋</v>
      </c>
      <c r="C17" s="65">
        <f>'入力　発注書'!D16</f>
        <v>198</v>
      </c>
      <c r="D17" s="68">
        <f>'入力　発注書'!E16</f>
        <v>149</v>
      </c>
      <c r="E17" s="68">
        <f>'入力　発注書'!L16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</v>
      </c>
      <c r="C18" s="65">
        <f>'入力　発注書'!D17</f>
        <v>128</v>
      </c>
      <c r="D18" s="68">
        <f>'入力　発注書'!E17</f>
        <v>96</v>
      </c>
      <c r="E18" s="68">
        <f>'入力　発注書'!L17</f>
        <v>0</v>
      </c>
      <c r="F18" s="66">
        <f t="shared" si="0"/>
        <v>0</v>
      </c>
      <c r="G18" s="69">
        <f t="shared" si="1"/>
        <v>0</v>
      </c>
    </row>
    <row r="19" spans="1:7" ht="13.15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96</v>
      </c>
      <c r="E19" s="65">
        <f>'入力　発注書'!L18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138</v>
      </c>
      <c r="D20" s="68">
        <f>'入力　発注書'!E19</f>
        <v>104</v>
      </c>
      <c r="E20" s="68">
        <f>'入力　発注書'!L19</f>
        <v>0</v>
      </c>
      <c r="F20" s="66">
        <f t="shared" si="0"/>
        <v>0</v>
      </c>
      <c r="G20" s="69">
        <f t="shared" si="1"/>
        <v>0</v>
      </c>
    </row>
    <row r="21" spans="1:7" ht="13.15" hidden="1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288</v>
      </c>
      <c r="D21" s="65">
        <f>'入力　発注書'!E20</f>
        <v>216</v>
      </c>
      <c r="E21" s="65">
        <f>'入力　発注書'!L20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フルーツトマト</v>
      </c>
      <c r="C22" s="65">
        <f>'入力　発注書'!D21</f>
        <v>238</v>
      </c>
      <c r="D22" s="68">
        <f>'入力　発注書'!E21</f>
        <v>179</v>
      </c>
      <c r="E22" s="68">
        <f>'入力　発注書'!L21</f>
        <v>0</v>
      </c>
      <c r="F22" s="66">
        <f t="shared" si="0"/>
        <v>0</v>
      </c>
      <c r="G22" s="69">
        <f t="shared" si="1"/>
        <v>0</v>
      </c>
    </row>
    <row r="23" spans="1:7" ht="13.15" hidden="1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298</v>
      </c>
      <c r="D23" s="68">
        <f>'入力　発注書'!E22</f>
        <v>224</v>
      </c>
      <c r="E23" s="68">
        <f>'入力　発注書'!L22</f>
        <v>0</v>
      </c>
      <c r="F23" s="66">
        <f t="shared" si="0"/>
        <v>0</v>
      </c>
      <c r="G23" s="69">
        <f t="shared" si="1"/>
        <v>0</v>
      </c>
    </row>
    <row r="24" spans="1:7" ht="13.15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198</v>
      </c>
      <c r="D24" s="68">
        <f>'入力　発注書'!E23</f>
        <v>149</v>
      </c>
      <c r="E24" s="68">
        <f>'入力　発注書'!L23</f>
        <v>0</v>
      </c>
      <c r="F24" s="66">
        <f t="shared" si="0"/>
        <v>0</v>
      </c>
      <c r="G24" s="69">
        <f t="shared" si="1"/>
        <v>0</v>
      </c>
    </row>
    <row r="25" spans="1:7" ht="13.15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198</v>
      </c>
      <c r="D25" s="65">
        <f>'入力　発注書'!E24</f>
        <v>149</v>
      </c>
      <c r="E25" s="65">
        <f>'入力　発注書'!L24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キャベツ1個</v>
      </c>
      <c r="C26" s="65">
        <f>'入力　発注書'!D25</f>
        <v>248</v>
      </c>
      <c r="D26" s="68">
        <f>'入力　発注書'!E25</f>
        <v>186</v>
      </c>
      <c r="E26" s="68">
        <f>'入力　発注書'!L25</f>
        <v>0</v>
      </c>
      <c r="F26" s="66">
        <f t="shared" si="0"/>
        <v>0</v>
      </c>
      <c r="G26" s="69">
        <f t="shared" si="1"/>
        <v>0</v>
      </c>
    </row>
    <row r="27" spans="1:7" ht="13.15" hidden="1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98</v>
      </c>
      <c r="D27" s="65">
        <f>'入力　発注書'!E26</f>
        <v>74</v>
      </c>
      <c r="E27" s="65">
        <f>'入力　発注書'!L26</f>
        <v>0</v>
      </c>
      <c r="F27" s="66">
        <f t="shared" si="0"/>
        <v>0</v>
      </c>
      <c r="G27" s="66">
        <f t="shared" si="1"/>
        <v>0</v>
      </c>
    </row>
    <row r="28" spans="1:7" ht="13.15" hidden="1" customHeight="1">
      <c r="A28" s="67">
        <f>'入力　発注書'!A27</f>
        <v>15</v>
      </c>
      <c r="B28" s="64" t="str">
        <f>'入力　発注書'!B27</f>
        <v>白菜1/2個</v>
      </c>
      <c r="C28" s="65">
        <f>'入力　発注書'!D27</f>
        <v>248</v>
      </c>
      <c r="D28" s="68">
        <f>'入力　発注書'!E27</f>
        <v>186</v>
      </c>
      <c r="E28" s="68">
        <f>'入力　発注書'!L27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大根1本</v>
      </c>
      <c r="C29" s="65">
        <f>'入力　発注書'!D28</f>
        <v>128</v>
      </c>
      <c r="D29" s="68">
        <f>'入力　発注書'!E28</f>
        <v>96</v>
      </c>
      <c r="E29" s="68">
        <f>'入力　発注書'!L28</f>
        <v>0</v>
      </c>
      <c r="F29" s="66">
        <f t="shared" si="0"/>
        <v>0</v>
      </c>
      <c r="G29" s="69">
        <f t="shared" si="1"/>
        <v>0</v>
      </c>
    </row>
    <row r="30" spans="1:7" ht="13.15" hidden="1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158</v>
      </c>
      <c r="D30" s="65">
        <f>'入力　発注書'!E29</f>
        <v>119</v>
      </c>
      <c r="E30" s="65">
        <f>'入力　発注書'!L29</f>
        <v>0</v>
      </c>
      <c r="F30" s="66">
        <f t="shared" si="0"/>
        <v>0</v>
      </c>
      <c r="G30" s="66">
        <f t="shared" si="1"/>
        <v>0</v>
      </c>
    </row>
    <row r="31" spans="1:7" ht="13.15" hidden="1" customHeight="1">
      <c r="A31" s="67">
        <f>'入力　発注書'!A30</f>
        <v>18</v>
      </c>
      <c r="B31" s="64" t="str">
        <f>'入力　発注書'!B30</f>
        <v>レタス</v>
      </c>
      <c r="C31" s="65">
        <f>'入力　発注書'!D30</f>
        <v>198</v>
      </c>
      <c r="D31" s="68">
        <f>'入力　発注書'!E30</f>
        <v>149</v>
      </c>
      <c r="E31" s="68">
        <f>'入力　発注書'!L30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98</v>
      </c>
      <c r="D32" s="68">
        <f>'入力　発注書'!E31</f>
        <v>74</v>
      </c>
      <c r="E32" s="68">
        <f>'入力　発注書'!L31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発注書'!L32</f>
        <v>0</v>
      </c>
      <c r="F33" s="66">
        <f t="shared" si="0"/>
        <v>0</v>
      </c>
      <c r="G33" s="69">
        <f t="shared" si="1"/>
        <v>0</v>
      </c>
    </row>
    <row r="34" spans="1:7" ht="13.15" hidden="1" customHeight="1">
      <c r="A34" s="67">
        <f>'入力　発注書'!A33</f>
        <v>21</v>
      </c>
      <c r="B34" s="64" t="str">
        <f>'入力　発注書'!B33</f>
        <v>茄子2本</v>
      </c>
      <c r="C34" s="65">
        <f>'入力　発注書'!D33</f>
        <v>178</v>
      </c>
      <c r="D34" s="68">
        <f>'入力　発注書'!E33</f>
        <v>134</v>
      </c>
      <c r="E34" s="68">
        <f>'入力　発注書'!L33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238</v>
      </c>
      <c r="D35" s="68">
        <f>'入力　発注書'!E34</f>
        <v>179</v>
      </c>
      <c r="E35" s="68">
        <f>'入力　発注書'!L34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248</v>
      </c>
      <c r="D36" s="68">
        <f>'入力　発注書'!E35</f>
        <v>186</v>
      </c>
      <c r="E36" s="68">
        <f>'入力　発注書'!L35</f>
        <v>0</v>
      </c>
      <c r="F36" s="66">
        <f t="shared" si="0"/>
        <v>0</v>
      </c>
      <c r="G36" s="69">
        <f t="shared" si="1"/>
        <v>0</v>
      </c>
    </row>
    <row r="37" spans="1:7" ht="13.15" hidden="1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198</v>
      </c>
      <c r="D37" s="68">
        <f>'入力　発注書'!E36</f>
        <v>149</v>
      </c>
      <c r="E37" s="68">
        <f>'入力　発注書'!L36</f>
        <v>0</v>
      </c>
      <c r="F37" s="66">
        <f t="shared" si="0"/>
        <v>0</v>
      </c>
      <c r="G37" s="69">
        <f t="shared" si="1"/>
        <v>0</v>
      </c>
    </row>
    <row r="38" spans="1:7" ht="13.15" hidden="1" customHeight="1">
      <c r="A38" s="67">
        <f>'入力　発注書'!A37</f>
        <v>25</v>
      </c>
      <c r="B38" s="64" t="str">
        <f>'入力　発注書'!B37</f>
        <v>ほうれん草</v>
      </c>
      <c r="C38" s="65">
        <f>'入力　発注書'!D37</f>
        <v>198</v>
      </c>
      <c r="D38" s="68">
        <f>'入力　発注書'!E37</f>
        <v>149</v>
      </c>
      <c r="E38" s="68">
        <f>'入力　発注書'!L37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111</v>
      </c>
      <c r="E39" s="68">
        <f>'入力　発注書'!L38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148</v>
      </c>
      <c r="D40" s="68">
        <f>'入力　発注書'!E39</f>
        <v>111</v>
      </c>
      <c r="E40" s="68">
        <f>'入力　発注書'!L39</f>
        <v>0</v>
      </c>
      <c r="F40" s="66">
        <f t="shared" si="0"/>
        <v>0</v>
      </c>
      <c r="G40" s="69">
        <f t="shared" si="1"/>
        <v>0</v>
      </c>
    </row>
    <row r="41" spans="1:7" ht="13.15" hidden="1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178</v>
      </c>
      <c r="D41" s="65">
        <f>'入力　発注書'!E40</f>
        <v>134</v>
      </c>
      <c r="E41" s="65">
        <f>'入力　発注書'!L40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発注書'!L41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発注書'!L42</f>
        <v>0</v>
      </c>
      <c r="F43" s="66">
        <f t="shared" si="0"/>
        <v>0</v>
      </c>
      <c r="G43" s="69">
        <f t="shared" si="1"/>
        <v>0</v>
      </c>
    </row>
    <row r="44" spans="1:7" ht="13.15" hidden="1" customHeight="1" thickBo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108</v>
      </c>
      <c r="D44" s="68">
        <f>'入力　発注書'!E43</f>
        <v>81</v>
      </c>
      <c r="E44" s="68">
        <f>'入力　発注書'!L43</f>
        <v>0</v>
      </c>
      <c r="F44" s="66">
        <f t="shared" si="0"/>
        <v>0</v>
      </c>
      <c r="G44" s="69">
        <f t="shared" si="1"/>
        <v>0</v>
      </c>
    </row>
    <row r="45" spans="1:7" ht="13.15" hidden="1" customHeight="1">
      <c r="A45" s="67">
        <f>'入力　発注書'!A44</f>
        <v>32</v>
      </c>
      <c r="B45" s="64" t="str">
        <f>'入力　発注書'!B44</f>
        <v>にら</v>
      </c>
      <c r="C45" s="65">
        <f>'入力　発注書'!D44</f>
        <v>98</v>
      </c>
      <c r="D45" s="68">
        <f>'入力　発注書'!E44</f>
        <v>74</v>
      </c>
      <c r="E45" s="68">
        <f>'入力　発注書'!L44</f>
        <v>0</v>
      </c>
      <c r="F45" s="66">
        <f t="shared" si="0"/>
        <v>0</v>
      </c>
      <c r="G45" s="69">
        <f t="shared" si="1"/>
        <v>0</v>
      </c>
    </row>
    <row r="46" spans="1:7" ht="13.15" hidden="1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発注書'!L45</f>
        <v>0</v>
      </c>
      <c r="F46" s="66">
        <f t="shared" si="0"/>
        <v>0</v>
      </c>
      <c r="G46" s="69">
        <f t="shared" ref="G46:G71" si="2">E46*D46</f>
        <v>0</v>
      </c>
    </row>
    <row r="47" spans="1:7" ht="13.15" hidden="1" customHeight="1">
      <c r="A47" s="61">
        <f>'入力　発注書'!A46</f>
        <v>34</v>
      </c>
      <c r="B47" s="64" t="str">
        <f>'入力　発注書'!B46</f>
        <v>中国ニンニク</v>
      </c>
      <c r="C47" s="65">
        <f>'入力　発注書'!D46</f>
        <v>168</v>
      </c>
      <c r="D47" s="65">
        <f>'入力　発注書'!E46</f>
        <v>126</v>
      </c>
      <c r="E47" s="65">
        <f>'入力　発注書'!L46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 thickBot="1">
      <c r="A48" s="67">
        <f>'入力　発注書'!A47</f>
        <v>35</v>
      </c>
      <c r="B48" s="64" t="str">
        <f>'入力　発注書'!B47</f>
        <v>みょうが</v>
      </c>
      <c r="C48" s="65">
        <f>'入力　発注書'!D47</f>
        <v>198</v>
      </c>
      <c r="D48" s="68">
        <f>'入力　発注書'!E47</f>
        <v>149</v>
      </c>
      <c r="E48" s="68">
        <f>'入力　発注書'!L47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138</v>
      </c>
      <c r="D49" s="68">
        <f>'入力　発注書'!E48</f>
        <v>104</v>
      </c>
      <c r="E49" s="68">
        <f>'入力　発注書'!L48</f>
        <v>0</v>
      </c>
      <c r="F49" s="66">
        <f t="shared" si="0"/>
        <v>0</v>
      </c>
      <c r="G49" s="69">
        <f t="shared" si="2"/>
        <v>0</v>
      </c>
    </row>
    <row r="50" spans="1:7" ht="13.15" hidden="1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538</v>
      </c>
      <c r="D50" s="68">
        <f>'入力　発注書'!E49</f>
        <v>404</v>
      </c>
      <c r="E50" s="68">
        <f>'入力　発注書'!L49</f>
        <v>0</v>
      </c>
      <c r="F50" s="66">
        <f t="shared" si="0"/>
        <v>0</v>
      </c>
      <c r="G50" s="69">
        <f t="shared" si="2"/>
        <v>0</v>
      </c>
    </row>
    <row r="51" spans="1:7" ht="13.15" hidden="1" customHeight="1">
      <c r="A51" s="61">
        <f>'入力　発注書'!A50</f>
        <v>38</v>
      </c>
      <c r="B51" s="64" t="str">
        <f>'入力　発注書'!B50</f>
        <v>とうもろこし</v>
      </c>
      <c r="C51" s="65">
        <f>'入力　発注書'!D50</f>
        <v>128</v>
      </c>
      <c r="D51" s="65">
        <f>'入力　発注書'!E50</f>
        <v>96</v>
      </c>
      <c r="E51" s="65">
        <f>'入力　発注書'!L50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>
      <c r="A52" s="67">
        <f>'入力　発注書'!A51</f>
        <v>39</v>
      </c>
      <c r="B52" s="64" t="str">
        <f>'入力　発注書'!B51</f>
        <v>キウイフルーツ</v>
      </c>
      <c r="C52" s="65">
        <f>'入力　発注書'!D51</f>
        <v>398</v>
      </c>
      <c r="D52" s="68">
        <f>'入力　発注書'!E51</f>
        <v>299</v>
      </c>
      <c r="E52" s="68">
        <f>'入力　発注書'!L51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>
      <c r="A53" s="67">
        <f>'入力　発注書'!A52</f>
        <v>40</v>
      </c>
      <c r="B53" s="64" t="str">
        <f>'入力　発注書'!B52</f>
        <v>枝豆２００g</v>
      </c>
      <c r="C53" s="65">
        <f>'入力　発注書'!D52</f>
        <v>328</v>
      </c>
      <c r="D53" s="68">
        <f>'入力　発注書'!E52</f>
        <v>246</v>
      </c>
      <c r="E53" s="68">
        <f>'入力　発注書'!L52</f>
        <v>0</v>
      </c>
      <c r="F53" s="66">
        <f t="shared" si="0"/>
        <v>0</v>
      </c>
      <c r="G53" s="69">
        <f t="shared" si="2"/>
        <v>0</v>
      </c>
    </row>
    <row r="54" spans="1:7" ht="13.15" hidden="1" customHeight="1">
      <c r="A54" s="67">
        <f>'入力　発注書'!A53</f>
        <v>41</v>
      </c>
      <c r="B54" s="64" t="str">
        <f>'入力　発注書'!B53</f>
        <v>ブロッコリー</v>
      </c>
      <c r="C54" s="65">
        <f>'入力　発注書'!D53</f>
        <v>108</v>
      </c>
      <c r="D54" s="68">
        <f>'入力　発注書'!E53</f>
        <v>81</v>
      </c>
      <c r="E54" s="68">
        <f>'入力　発注書'!L53</f>
        <v>0</v>
      </c>
      <c r="F54" s="66">
        <f t="shared" si="0"/>
        <v>0</v>
      </c>
      <c r="G54" s="69">
        <f t="shared" si="2"/>
        <v>0</v>
      </c>
    </row>
    <row r="55" spans="1:7" ht="13.15" hidden="1" customHeight="1">
      <c r="A55" s="61">
        <f>'入力　発注書'!A54</f>
        <v>42</v>
      </c>
      <c r="B55" s="64" t="str">
        <f>'入力　発注書'!B54</f>
        <v>シャインマスカット</v>
      </c>
      <c r="C55" s="65">
        <f>'入力　発注書'!D54</f>
        <v>1280</v>
      </c>
      <c r="D55" s="65">
        <f>'入力　発注書'!E54</f>
        <v>960</v>
      </c>
      <c r="E55" s="65">
        <f>'入力　発注書'!L54</f>
        <v>0</v>
      </c>
      <c r="F55" s="66">
        <f t="shared" si="0"/>
        <v>0</v>
      </c>
      <c r="G55" s="66">
        <f t="shared" si="2"/>
        <v>0</v>
      </c>
    </row>
    <row r="56" spans="1:7" ht="15.6" hidden="1" customHeight="1" thickBo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418</v>
      </c>
      <c r="D56" s="68">
        <f>'入力　発注書'!E55</f>
        <v>314</v>
      </c>
      <c r="E56" s="68">
        <f>'入力　発注書'!L55</f>
        <v>0</v>
      </c>
      <c r="F56" s="66">
        <f t="shared" si="0"/>
        <v>0</v>
      </c>
      <c r="G56" s="69">
        <f t="shared" si="2"/>
        <v>0</v>
      </c>
    </row>
    <row r="57" spans="1:7" ht="15.6" hidden="1" customHeight="1">
      <c r="A57" s="67">
        <f>'入力　発注書'!A56</f>
        <v>44</v>
      </c>
      <c r="B57" s="64" t="str">
        <f>'入力　発注書'!B56</f>
        <v>オレンジ３個</v>
      </c>
      <c r="C57" s="65">
        <f>'入力　発注書'!D56</f>
        <v>398</v>
      </c>
      <c r="D57" s="68">
        <f>'入力　発注書'!E56</f>
        <v>299</v>
      </c>
      <c r="E57" s="68">
        <f>'入力　発注書'!L56</f>
        <v>0</v>
      </c>
      <c r="F57" s="66">
        <f t="shared" si="0"/>
        <v>0</v>
      </c>
      <c r="G57" s="69">
        <f t="shared" si="2"/>
        <v>0</v>
      </c>
    </row>
    <row r="58" spans="1:7" ht="15.6" hidden="1" customHeight="1">
      <c r="A58" s="67">
        <f>'入力　発注書'!A57</f>
        <v>45</v>
      </c>
      <c r="B58" s="64" t="str">
        <f>'入力　発注書'!B57</f>
        <v>もも1個</v>
      </c>
      <c r="C58" s="65">
        <f>'入力　発注書'!D57</f>
        <v>200</v>
      </c>
      <c r="D58" s="68">
        <f>'入力　発注書'!E57</f>
        <v>150</v>
      </c>
      <c r="E58" s="68">
        <f>'入力　発注書'!L57</f>
        <v>0</v>
      </c>
      <c r="F58" s="66">
        <f t="shared" si="0"/>
        <v>0</v>
      </c>
      <c r="G58" s="69">
        <f t="shared" si="2"/>
        <v>0</v>
      </c>
    </row>
    <row r="59" spans="1:7" ht="15.6" hidden="1" customHeight="1">
      <c r="A59" s="67">
        <f>'入力　発注書'!A58</f>
        <v>46</v>
      </c>
      <c r="B59" s="64" t="str">
        <f>'入力　発注書'!B58</f>
        <v>デラウエア</v>
      </c>
      <c r="C59" s="65">
        <f>'入力　発注書'!D58</f>
        <v>398</v>
      </c>
      <c r="D59" s="68">
        <f>'入力　発注書'!E58</f>
        <v>299</v>
      </c>
      <c r="E59" s="68">
        <f>'入力　発注書'!L58</f>
        <v>0</v>
      </c>
      <c r="F59" s="66">
        <f t="shared" si="0"/>
        <v>0</v>
      </c>
      <c r="G59" s="69">
        <f t="shared" si="2"/>
        <v>0</v>
      </c>
    </row>
    <row r="60" spans="1:7" hidden="1">
      <c r="A60" s="67">
        <f>'入力　発注書'!A59</f>
        <v>47</v>
      </c>
      <c r="B60" s="64" t="str">
        <f>'入力　発注書'!B59</f>
        <v>たけのこ水煮</v>
      </c>
      <c r="C60" s="65">
        <f>'入力　発注書'!D59</f>
        <v>178</v>
      </c>
      <c r="D60" s="68">
        <f>'入力　発注書'!E59</f>
        <v>134</v>
      </c>
      <c r="E60" s="68">
        <f>'入力　発注書'!L59</f>
        <v>0</v>
      </c>
      <c r="F60" s="66">
        <f t="shared" si="0"/>
        <v>0</v>
      </c>
      <c r="G60" s="69">
        <f t="shared" si="2"/>
        <v>0</v>
      </c>
    </row>
    <row r="61" spans="1:7" ht="14.25" hidden="1" customHeight="1">
      <c r="A61" s="67">
        <f>'入力　発注書'!A60</f>
        <v>48</v>
      </c>
      <c r="B61" s="64" t="str">
        <f>'入力　発注書'!B60</f>
        <v>豚汁の具</v>
      </c>
      <c r="C61" s="65">
        <f>'入力　発注書'!D60</f>
        <v>178</v>
      </c>
      <c r="D61" s="68">
        <f>'入力　発注書'!E60</f>
        <v>134</v>
      </c>
      <c r="E61" s="68">
        <f>'入力　発注書'!L60</f>
        <v>0</v>
      </c>
      <c r="F61" s="66">
        <f t="shared" si="0"/>
        <v>0</v>
      </c>
      <c r="G61" s="69">
        <f t="shared" si="2"/>
        <v>0</v>
      </c>
    </row>
    <row r="62" spans="1:7" ht="14.25" customHeight="1">
      <c r="A62" s="67">
        <f>'入力　発注書'!A61</f>
        <v>49</v>
      </c>
      <c r="B62" s="64" t="str">
        <f>'入力　発注書'!B61</f>
        <v>メロン</v>
      </c>
      <c r="C62" s="65">
        <f>'入力　発注書'!D61</f>
        <v>580</v>
      </c>
      <c r="D62" s="68">
        <f>'入力　発注書'!E61</f>
        <v>435</v>
      </c>
      <c r="E62" s="68">
        <f>'入力　発注書'!L61</f>
        <v>0</v>
      </c>
      <c r="F62" s="66">
        <f t="shared" si="0"/>
        <v>0</v>
      </c>
      <c r="G62" s="69">
        <f t="shared" si="2"/>
        <v>0</v>
      </c>
    </row>
    <row r="63" spans="1:7" ht="14.25" customHeight="1" thickBot="1">
      <c r="A63" s="67">
        <f>'入力　発注書'!A62</f>
        <v>50</v>
      </c>
      <c r="B63" s="64" t="str">
        <f>'入力　発注書'!B62</f>
        <v>ブドウ</v>
      </c>
      <c r="C63" s="65">
        <f>'入力　発注書'!D62</f>
        <v>498</v>
      </c>
      <c r="D63" s="68">
        <f>'入力　発注書'!E62</f>
        <v>374</v>
      </c>
      <c r="E63" s="68">
        <f>'入力　発注書'!L62</f>
        <v>0</v>
      </c>
      <c r="F63" s="66">
        <f t="shared" si="0"/>
        <v>0</v>
      </c>
      <c r="G63" s="69">
        <f t="shared" si="2"/>
        <v>0</v>
      </c>
    </row>
    <row r="64" spans="1:7" ht="19.5" hidden="1" thickBot="1">
      <c r="A64" s="67">
        <f>'入力　発注書'!A63</f>
        <v>51</v>
      </c>
      <c r="B64" s="64" t="str">
        <f>'入力　発注書'!B63</f>
        <v>イチゴ</v>
      </c>
      <c r="C64" s="65">
        <f>'入力　発注書'!D63</f>
        <v>498</v>
      </c>
      <c r="D64" s="68">
        <f>'入力　発注書'!E63</f>
        <v>374</v>
      </c>
      <c r="E64" s="68">
        <f>'入力　発注書'!L63</f>
        <v>0</v>
      </c>
      <c r="F64" s="66">
        <f t="shared" si="0"/>
        <v>0</v>
      </c>
      <c r="G64" s="69">
        <f t="shared" si="2"/>
        <v>0</v>
      </c>
    </row>
    <row r="65" spans="1:7" ht="19.5" hidden="1" thickBo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発注書'!L64</f>
        <v>0</v>
      </c>
      <c r="F65" s="66">
        <f t="shared" si="0"/>
        <v>0</v>
      </c>
      <c r="G65" s="69">
        <f t="shared" si="2"/>
        <v>0</v>
      </c>
    </row>
    <row r="66" spans="1:7" ht="19.5" hidden="1" thickBo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発注書'!L65</f>
        <v>0</v>
      </c>
      <c r="F66" s="66">
        <f t="shared" si="0"/>
        <v>0</v>
      </c>
      <c r="G66" s="69">
        <f t="shared" si="2"/>
        <v>0</v>
      </c>
    </row>
    <row r="67" spans="1:7" ht="19.5" hidden="1" thickBo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発注書'!L66</f>
        <v>0</v>
      </c>
      <c r="F67" s="66">
        <f t="shared" si="0"/>
        <v>0</v>
      </c>
      <c r="G67" s="69">
        <f t="shared" si="2"/>
        <v>0</v>
      </c>
    </row>
    <row r="68" spans="1:7" ht="14.25" hidden="1" customHeigh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発注書'!L67</f>
        <v>0</v>
      </c>
      <c r="F68" s="66">
        <f t="shared" si="0"/>
        <v>0</v>
      </c>
      <c r="G68" s="69">
        <f t="shared" si="2"/>
        <v>0</v>
      </c>
    </row>
    <row r="69" spans="1:7" ht="14.25" hidden="1" customHeight="1">
      <c r="A69" s="67">
        <f>'入力　発注書'!A68</f>
        <v>56</v>
      </c>
      <c r="B69" s="64" t="str">
        <f>'入力　発注書'!B68</f>
        <v>新玉ねぎ</v>
      </c>
      <c r="C69" s="65">
        <f>'入力　発注書'!D68</f>
        <v>218</v>
      </c>
      <c r="D69" s="68">
        <f>'入力　発注書'!E68</f>
        <v>164</v>
      </c>
      <c r="E69" s="68">
        <f>'入力　発注書'!L68</f>
        <v>0</v>
      </c>
      <c r="F69" s="66">
        <f t="shared" si="0"/>
        <v>0</v>
      </c>
      <c r="G69" s="69">
        <f t="shared" si="2"/>
        <v>0</v>
      </c>
    </row>
    <row r="70" spans="1:7" ht="19.5" hidden="1" thickBot="1">
      <c r="A70" s="70">
        <f>'入力　発注書'!A69</f>
        <v>57</v>
      </c>
      <c r="B70" s="64" t="str">
        <f>'入力　発注書'!B69</f>
        <v>切り干し大根</v>
      </c>
      <c r="C70" s="65">
        <f>'入力　発注書'!D69</f>
        <v>238</v>
      </c>
      <c r="D70" s="68">
        <f>'入力　発注書'!E69</f>
        <v>179</v>
      </c>
      <c r="E70" s="68">
        <f>'入力　発注書'!L69</f>
        <v>0</v>
      </c>
      <c r="F70" s="66">
        <f t="shared" si="0"/>
        <v>0</v>
      </c>
      <c r="G70" s="69">
        <f t="shared" si="2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発注書'!L70</f>
        <v>0</v>
      </c>
      <c r="E71" s="73">
        <f>IF(D71&lt;&gt;0,1,0)</f>
        <v>0</v>
      </c>
      <c r="F71" s="73"/>
      <c r="G71" s="74">
        <f t="shared" si="2"/>
        <v>0</v>
      </c>
    </row>
    <row r="72" spans="1:7" s="36" customFormat="1" ht="16.5" customHeight="1" thickTop="1">
      <c r="A72" s="90"/>
      <c r="B72" s="92" t="s">
        <v>39</v>
      </c>
      <c r="C72" s="59"/>
      <c r="D72" s="94" t="s">
        <v>44</v>
      </c>
      <c r="E72" s="95"/>
      <c r="F72" s="41">
        <f>SUM(F14:F70)</f>
        <v>0</v>
      </c>
      <c r="G72" s="41">
        <f>SUM(G14:G70)</f>
        <v>0</v>
      </c>
    </row>
    <row r="73" spans="1:7" s="36" customFormat="1" ht="16.5" customHeight="1">
      <c r="A73" s="91"/>
      <c r="B73" s="93"/>
      <c r="C73" s="60"/>
      <c r="D73" s="96" t="s">
        <v>45</v>
      </c>
      <c r="E73" s="97"/>
      <c r="F73" s="35"/>
      <c r="G73" s="35">
        <f>G71</f>
        <v>0</v>
      </c>
    </row>
    <row r="74" spans="1:7" ht="14.25" customHeight="1">
      <c r="B74" s="39" t="s">
        <v>46</v>
      </c>
      <c r="C74" s="39"/>
    </row>
  </sheetData>
  <sheetProtection sheet="1" selectLockedCells="1" autoFilter="0" selectUnlockedCells="1"/>
  <autoFilter ref="A13:G74" xr:uid="{9F168BD2-722D-4F1F-95BC-CA982854E6A7}">
    <filterColumn colId="5">
      <filters blank="1">
        <filter val="1,280"/>
        <filter val="1,374"/>
        <filter val="1,640"/>
        <filter val="1,780"/>
        <filter val="15,078"/>
        <filter val="2,180"/>
        <filter val="276"/>
        <filter val="3,240"/>
        <filter val="534"/>
        <filter val="594"/>
      </filters>
    </filterColumn>
  </autoFilter>
  <mergeCells count="17">
    <mergeCell ref="F12:G12"/>
    <mergeCell ref="F11:G11"/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</mergeCells>
  <phoneticPr fontId="3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A85-0F29-45EB-B87C-C0EB6A20BD47}">
  <sheetPr filterMode="1">
    <tabColor rgb="FFFFFFCC"/>
    <pageSetUpPr fitToPage="1"/>
  </sheetPr>
  <dimension ref="A1:L74"/>
  <sheetViews>
    <sheetView topLeftCell="A10" workbookViewId="0">
      <selection activeCell="D31" sqref="D3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23</v>
      </c>
    </row>
    <row r="2" spans="1:12" customFormat="1" ht="24" customHeight="1" thickBot="1">
      <c r="B2" s="76" t="s">
        <v>38</v>
      </c>
      <c r="C2" s="87">
        <f>'入力　発注書'!D8</f>
        <v>46231</v>
      </c>
      <c r="D2" s="87"/>
      <c r="E2" s="87"/>
      <c r="F2" s="1"/>
    </row>
    <row r="3" spans="1:12" ht="9.6" customHeight="1" thickTop="1"/>
    <row r="4" spans="1:12" ht="14.45" customHeight="1">
      <c r="D4" s="98" t="s">
        <v>24</v>
      </c>
      <c r="E4" s="98"/>
      <c r="F4" s="98"/>
      <c r="G4" s="98"/>
    </row>
    <row r="5" spans="1:12" ht="14.45" customHeight="1">
      <c r="D5" s="99" t="s">
        <v>25</v>
      </c>
      <c r="E5" s="99"/>
      <c r="F5" s="99"/>
      <c r="G5" s="99"/>
    </row>
    <row r="6" spans="1:12" ht="13.5" customHeight="1">
      <c r="E6" s="109" t="s">
        <v>27</v>
      </c>
      <c r="F6" s="109"/>
      <c r="G6" s="109"/>
    </row>
    <row r="7" spans="1:12" ht="13.5" customHeight="1">
      <c r="B7" s="2"/>
      <c r="C7" s="2"/>
      <c r="D7" s="8"/>
      <c r="E7" s="109" t="s">
        <v>28</v>
      </c>
      <c r="F7" s="109"/>
      <c r="G7" s="109"/>
      <c r="K7" s="4"/>
      <c r="L7" s="4"/>
    </row>
    <row r="8" spans="1:12" s="3" customFormat="1" ht="24.6" customHeight="1" thickBot="1">
      <c r="B8" s="77" t="s">
        <v>0</v>
      </c>
      <c r="C8" s="86" t="s">
        <v>31</v>
      </c>
      <c r="D8" s="86"/>
      <c r="E8" s="86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52</v>
      </c>
      <c r="C11" s="88">
        <f>G72+G73</f>
        <v>0</v>
      </c>
      <c r="D11" s="88"/>
      <c r="E11" s="89"/>
      <c r="F11" s="84" t="s">
        <v>53</v>
      </c>
      <c r="G11" s="85"/>
    </row>
    <row r="12" spans="1:12" ht="16.5" customHeight="1" thickTop="1">
      <c r="A12" s="100"/>
      <c r="B12" s="102" t="s">
        <v>36</v>
      </c>
      <c r="C12" s="104" t="s">
        <v>51</v>
      </c>
      <c r="D12" s="104"/>
      <c r="E12" s="105" t="s">
        <v>37</v>
      </c>
      <c r="F12" s="107" t="s">
        <v>50</v>
      </c>
      <c r="G12" s="107"/>
    </row>
    <row r="13" spans="1:12" ht="16.5" customHeight="1">
      <c r="A13" s="101"/>
      <c r="B13" s="103"/>
      <c r="C13" s="63" t="s">
        <v>48</v>
      </c>
      <c r="D13" s="62" t="s">
        <v>49</v>
      </c>
      <c r="E13" s="106"/>
      <c r="F13" s="63" t="s">
        <v>48</v>
      </c>
      <c r="G13" s="62" t="s">
        <v>49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218</v>
      </c>
      <c r="D14" s="65">
        <f>'入力　発注書'!E13</f>
        <v>164</v>
      </c>
      <c r="E14" s="65">
        <f>'入力　発注書'!M13</f>
        <v>0</v>
      </c>
      <c r="F14" s="66">
        <f>$E14*C14</f>
        <v>0</v>
      </c>
      <c r="G14" s="66">
        <f>$E14*D14</f>
        <v>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発注書'!M14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customHeight="1">
      <c r="A16" s="61">
        <f>'入力　発注書'!A15</f>
        <v>3</v>
      </c>
      <c r="B16" s="64" t="str">
        <f>'入力　発注書'!B15</f>
        <v>玉ねぎS</v>
      </c>
      <c r="C16" s="65">
        <f>'入力　発注書'!D15</f>
        <v>138</v>
      </c>
      <c r="D16" s="65">
        <f>'入力　発注書'!E15</f>
        <v>104</v>
      </c>
      <c r="E16" s="65">
        <f>'入力　発注書'!M15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里芋</v>
      </c>
      <c r="C17" s="65">
        <f>'入力　発注書'!D16</f>
        <v>198</v>
      </c>
      <c r="D17" s="68">
        <f>'入力　発注書'!E16</f>
        <v>149</v>
      </c>
      <c r="E17" s="68">
        <f>'入力　発注書'!M16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</v>
      </c>
      <c r="C18" s="65">
        <f>'入力　発注書'!D17</f>
        <v>128</v>
      </c>
      <c r="D18" s="68">
        <f>'入力　発注書'!E17</f>
        <v>96</v>
      </c>
      <c r="E18" s="68">
        <f>'入力　発注書'!M17</f>
        <v>0</v>
      </c>
      <c r="F18" s="66">
        <f t="shared" si="0"/>
        <v>0</v>
      </c>
      <c r="G18" s="69">
        <f t="shared" si="1"/>
        <v>0</v>
      </c>
    </row>
    <row r="19" spans="1:7" ht="13.15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96</v>
      </c>
      <c r="E19" s="65">
        <f>'入力　発注書'!M18</f>
        <v>0</v>
      </c>
      <c r="F19" s="66">
        <f t="shared" si="0"/>
        <v>0</v>
      </c>
      <c r="G19" s="66">
        <f t="shared" si="1"/>
        <v>0</v>
      </c>
    </row>
    <row r="20" spans="1:7" ht="13.15" hidden="1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138</v>
      </c>
      <c r="D20" s="68">
        <f>'入力　発注書'!E19</f>
        <v>104</v>
      </c>
      <c r="E20" s="68">
        <f>'入力　発注書'!M19</f>
        <v>0</v>
      </c>
      <c r="F20" s="66">
        <f t="shared" si="0"/>
        <v>0</v>
      </c>
      <c r="G20" s="69">
        <f t="shared" si="1"/>
        <v>0</v>
      </c>
    </row>
    <row r="21" spans="1:7" ht="13.15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288</v>
      </c>
      <c r="D21" s="65">
        <f>'入力　発注書'!E20</f>
        <v>216</v>
      </c>
      <c r="E21" s="65">
        <f>'入力　発注書'!M20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フルーツトマト</v>
      </c>
      <c r="C22" s="65">
        <f>'入力　発注書'!D21</f>
        <v>238</v>
      </c>
      <c r="D22" s="68">
        <f>'入力　発注書'!E21</f>
        <v>179</v>
      </c>
      <c r="E22" s="68">
        <f>'入力　発注書'!M21</f>
        <v>0</v>
      </c>
      <c r="F22" s="66">
        <f t="shared" si="0"/>
        <v>0</v>
      </c>
      <c r="G22" s="69">
        <f t="shared" si="1"/>
        <v>0</v>
      </c>
    </row>
    <row r="23" spans="1:7" ht="13.15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298</v>
      </c>
      <c r="D23" s="68">
        <f>'入力　発注書'!E22</f>
        <v>224</v>
      </c>
      <c r="E23" s="68">
        <f>'入力　発注書'!M22</f>
        <v>0</v>
      </c>
      <c r="F23" s="66">
        <f t="shared" si="0"/>
        <v>0</v>
      </c>
      <c r="G23" s="69">
        <f t="shared" si="1"/>
        <v>0</v>
      </c>
    </row>
    <row r="24" spans="1:7" ht="13.15" hidden="1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198</v>
      </c>
      <c r="D24" s="68">
        <f>'入力　発注書'!E23</f>
        <v>149</v>
      </c>
      <c r="E24" s="68">
        <f>'入力　発注書'!M23</f>
        <v>0</v>
      </c>
      <c r="F24" s="66">
        <f t="shared" si="0"/>
        <v>0</v>
      </c>
      <c r="G24" s="69">
        <f t="shared" si="1"/>
        <v>0</v>
      </c>
    </row>
    <row r="25" spans="1:7" ht="13.15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198</v>
      </c>
      <c r="D25" s="65">
        <f>'入力　発注書'!E24</f>
        <v>149</v>
      </c>
      <c r="E25" s="65">
        <f>'入力　発注書'!M24</f>
        <v>0</v>
      </c>
      <c r="F25" s="66">
        <f t="shared" si="0"/>
        <v>0</v>
      </c>
      <c r="G25" s="66">
        <f t="shared" si="1"/>
        <v>0</v>
      </c>
    </row>
    <row r="26" spans="1:7" ht="13.15" customHeight="1">
      <c r="A26" s="67">
        <f>'入力　発注書'!A25</f>
        <v>13</v>
      </c>
      <c r="B26" s="64" t="str">
        <f>'入力　発注書'!B25</f>
        <v>キャベツ1個</v>
      </c>
      <c r="C26" s="65">
        <f>'入力　発注書'!D25</f>
        <v>248</v>
      </c>
      <c r="D26" s="68">
        <f>'入力　発注書'!E25</f>
        <v>186</v>
      </c>
      <c r="E26" s="68">
        <f>'入力　発注書'!M25</f>
        <v>0</v>
      </c>
      <c r="F26" s="66">
        <f t="shared" si="0"/>
        <v>0</v>
      </c>
      <c r="G26" s="69">
        <f t="shared" si="1"/>
        <v>0</v>
      </c>
    </row>
    <row r="27" spans="1:7" ht="13.15" hidden="1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98</v>
      </c>
      <c r="D27" s="65">
        <f>'入力　発注書'!E26</f>
        <v>74</v>
      </c>
      <c r="E27" s="65">
        <f>'入力　発注書'!M26</f>
        <v>0</v>
      </c>
      <c r="F27" s="66">
        <f t="shared" si="0"/>
        <v>0</v>
      </c>
      <c r="G27" s="66">
        <f t="shared" si="1"/>
        <v>0</v>
      </c>
    </row>
    <row r="28" spans="1:7" ht="13.15" customHeight="1">
      <c r="A28" s="67">
        <f>'入力　発注書'!A27</f>
        <v>15</v>
      </c>
      <c r="B28" s="64" t="str">
        <f>'入力　発注書'!B27</f>
        <v>白菜1/2個</v>
      </c>
      <c r="C28" s="65">
        <f>'入力　発注書'!D27</f>
        <v>248</v>
      </c>
      <c r="D28" s="68">
        <f>'入力　発注書'!E27</f>
        <v>186</v>
      </c>
      <c r="E28" s="68">
        <f>'入力　発注書'!M27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大根1本</v>
      </c>
      <c r="C29" s="65">
        <f>'入力　発注書'!D28</f>
        <v>128</v>
      </c>
      <c r="D29" s="68">
        <f>'入力　発注書'!E28</f>
        <v>96</v>
      </c>
      <c r="E29" s="68">
        <f>'入力　発注書'!M28</f>
        <v>0</v>
      </c>
      <c r="F29" s="66">
        <f t="shared" si="0"/>
        <v>0</v>
      </c>
      <c r="G29" s="69">
        <f t="shared" si="1"/>
        <v>0</v>
      </c>
    </row>
    <row r="30" spans="1:7" ht="13.15" hidden="1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158</v>
      </c>
      <c r="D30" s="65">
        <f>'入力　発注書'!E29</f>
        <v>119</v>
      </c>
      <c r="E30" s="65">
        <f>'入力　発注書'!M29</f>
        <v>0</v>
      </c>
      <c r="F30" s="66">
        <f t="shared" si="0"/>
        <v>0</v>
      </c>
      <c r="G30" s="66">
        <f t="shared" si="1"/>
        <v>0</v>
      </c>
    </row>
    <row r="31" spans="1:7" ht="13.15" hidden="1" customHeight="1">
      <c r="A31" s="67">
        <f>'入力　発注書'!A30</f>
        <v>18</v>
      </c>
      <c r="B31" s="64" t="str">
        <f>'入力　発注書'!B30</f>
        <v>レタス</v>
      </c>
      <c r="C31" s="65">
        <f>'入力　発注書'!D30</f>
        <v>198</v>
      </c>
      <c r="D31" s="68">
        <f>'入力　発注書'!E30</f>
        <v>149</v>
      </c>
      <c r="E31" s="68">
        <f>'入力　発注書'!M30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98</v>
      </c>
      <c r="D32" s="68">
        <f>'入力　発注書'!E31</f>
        <v>74</v>
      </c>
      <c r="E32" s="68">
        <f>'入力　発注書'!M31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発注書'!M32</f>
        <v>0</v>
      </c>
      <c r="F33" s="66">
        <f t="shared" si="0"/>
        <v>0</v>
      </c>
      <c r="G33" s="69">
        <f t="shared" si="1"/>
        <v>0</v>
      </c>
    </row>
    <row r="34" spans="1:7" ht="13.15" customHeight="1">
      <c r="A34" s="67">
        <f>'入力　発注書'!A33</f>
        <v>21</v>
      </c>
      <c r="B34" s="64" t="str">
        <f>'入力　発注書'!B33</f>
        <v>茄子2本</v>
      </c>
      <c r="C34" s="65">
        <f>'入力　発注書'!D33</f>
        <v>178</v>
      </c>
      <c r="D34" s="68">
        <f>'入力　発注書'!E33</f>
        <v>134</v>
      </c>
      <c r="E34" s="68">
        <f>'入力　発注書'!M33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238</v>
      </c>
      <c r="D35" s="68">
        <f>'入力　発注書'!E34</f>
        <v>179</v>
      </c>
      <c r="E35" s="68">
        <f>'入力　発注書'!M34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248</v>
      </c>
      <c r="D36" s="68">
        <f>'入力　発注書'!E35</f>
        <v>186</v>
      </c>
      <c r="E36" s="68">
        <f>'入力　発注書'!M35</f>
        <v>0</v>
      </c>
      <c r="F36" s="66">
        <f t="shared" si="0"/>
        <v>0</v>
      </c>
      <c r="G36" s="69">
        <f t="shared" si="1"/>
        <v>0</v>
      </c>
    </row>
    <row r="37" spans="1:7" ht="13.15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198</v>
      </c>
      <c r="D37" s="68">
        <f>'入力　発注書'!E36</f>
        <v>149</v>
      </c>
      <c r="E37" s="68">
        <f>'入力　発注書'!M36</f>
        <v>0</v>
      </c>
      <c r="F37" s="66">
        <f t="shared" si="0"/>
        <v>0</v>
      </c>
      <c r="G37" s="69">
        <f t="shared" si="1"/>
        <v>0</v>
      </c>
    </row>
    <row r="38" spans="1:7" ht="13.15" hidden="1" customHeight="1">
      <c r="A38" s="67">
        <f>'入力　発注書'!A37</f>
        <v>25</v>
      </c>
      <c r="B38" s="64" t="str">
        <f>'入力　発注書'!B37</f>
        <v>ほうれん草</v>
      </c>
      <c r="C38" s="65">
        <f>'入力　発注書'!D37</f>
        <v>198</v>
      </c>
      <c r="D38" s="68">
        <f>'入力　発注書'!E37</f>
        <v>149</v>
      </c>
      <c r="E38" s="68">
        <f>'入力　発注書'!M37</f>
        <v>0</v>
      </c>
      <c r="F38" s="66">
        <f t="shared" si="0"/>
        <v>0</v>
      </c>
      <c r="G38" s="69">
        <f t="shared" si="1"/>
        <v>0</v>
      </c>
    </row>
    <row r="39" spans="1:7" ht="13.15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111</v>
      </c>
      <c r="E39" s="68">
        <f>'入力　発注書'!M38</f>
        <v>0</v>
      </c>
      <c r="F39" s="66">
        <f t="shared" si="0"/>
        <v>0</v>
      </c>
      <c r="G39" s="69">
        <f t="shared" si="1"/>
        <v>0</v>
      </c>
    </row>
    <row r="40" spans="1:7" ht="13.15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148</v>
      </c>
      <c r="D40" s="68">
        <f>'入力　発注書'!E39</f>
        <v>111</v>
      </c>
      <c r="E40" s="68">
        <f>'入力　発注書'!M39</f>
        <v>0</v>
      </c>
      <c r="F40" s="66">
        <f t="shared" si="0"/>
        <v>0</v>
      </c>
      <c r="G40" s="69">
        <f t="shared" si="1"/>
        <v>0</v>
      </c>
    </row>
    <row r="41" spans="1:7" ht="13.15" hidden="1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178</v>
      </c>
      <c r="D41" s="65">
        <f>'入力　発注書'!E40</f>
        <v>134</v>
      </c>
      <c r="E41" s="65">
        <f>'入力　発注書'!M40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発注書'!M41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発注書'!M42</f>
        <v>0</v>
      </c>
      <c r="F43" s="66">
        <f t="shared" si="0"/>
        <v>0</v>
      </c>
      <c r="G43" s="69">
        <f t="shared" si="1"/>
        <v>0</v>
      </c>
    </row>
    <row r="44" spans="1:7" ht="13.15" hidden="1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108</v>
      </c>
      <c r="D44" s="68">
        <f>'入力　発注書'!E43</f>
        <v>81</v>
      </c>
      <c r="E44" s="68">
        <f>'入力　発注書'!M43</f>
        <v>0</v>
      </c>
      <c r="F44" s="66">
        <f t="shared" si="0"/>
        <v>0</v>
      </c>
      <c r="G44" s="69">
        <f t="shared" si="1"/>
        <v>0</v>
      </c>
    </row>
    <row r="45" spans="1:7" ht="13.15" hidden="1" customHeight="1">
      <c r="A45" s="67">
        <f>'入力　発注書'!A44</f>
        <v>32</v>
      </c>
      <c r="B45" s="64" t="str">
        <f>'入力　発注書'!B44</f>
        <v>にら</v>
      </c>
      <c r="C45" s="65">
        <f>'入力　発注書'!D44</f>
        <v>98</v>
      </c>
      <c r="D45" s="68">
        <f>'入力　発注書'!E44</f>
        <v>74</v>
      </c>
      <c r="E45" s="68">
        <f>'入力　発注書'!M44</f>
        <v>0</v>
      </c>
      <c r="F45" s="66">
        <f t="shared" si="0"/>
        <v>0</v>
      </c>
      <c r="G45" s="69">
        <f t="shared" si="1"/>
        <v>0</v>
      </c>
    </row>
    <row r="46" spans="1:7" ht="13.15" hidden="1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発注書'!M45</f>
        <v>0</v>
      </c>
      <c r="F46" s="66">
        <f t="shared" si="0"/>
        <v>0</v>
      </c>
      <c r="G46" s="69">
        <f t="shared" ref="G46:G70" si="2">E46*D46</f>
        <v>0</v>
      </c>
    </row>
    <row r="47" spans="1:7" ht="13.15" hidden="1" customHeight="1">
      <c r="A47" s="61">
        <f>'入力　発注書'!A46</f>
        <v>34</v>
      </c>
      <c r="B47" s="64" t="str">
        <f>'入力　発注書'!B46</f>
        <v>中国ニンニク</v>
      </c>
      <c r="C47" s="65">
        <f>'入力　発注書'!D46</f>
        <v>168</v>
      </c>
      <c r="D47" s="65">
        <f>'入力　発注書'!E46</f>
        <v>126</v>
      </c>
      <c r="E47" s="65">
        <f>'入力　発注書'!M46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>
      <c r="A48" s="67">
        <f>'入力　発注書'!A47</f>
        <v>35</v>
      </c>
      <c r="B48" s="64" t="str">
        <f>'入力　発注書'!B47</f>
        <v>みょうが</v>
      </c>
      <c r="C48" s="65">
        <f>'入力　発注書'!D47</f>
        <v>198</v>
      </c>
      <c r="D48" s="68">
        <f>'入力　発注書'!E47</f>
        <v>149</v>
      </c>
      <c r="E48" s="68">
        <f>'入力　発注書'!M47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138</v>
      </c>
      <c r="D49" s="68">
        <f>'入力　発注書'!E48</f>
        <v>104</v>
      </c>
      <c r="E49" s="68">
        <f>'入力　発注書'!M48</f>
        <v>0</v>
      </c>
      <c r="F49" s="66">
        <f t="shared" si="0"/>
        <v>0</v>
      </c>
      <c r="G49" s="69">
        <f t="shared" si="2"/>
        <v>0</v>
      </c>
    </row>
    <row r="50" spans="1:7" ht="13.15" hidden="1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538</v>
      </c>
      <c r="D50" s="68">
        <f>'入力　発注書'!E49</f>
        <v>404</v>
      </c>
      <c r="E50" s="68">
        <f>'入力　発注書'!M49</f>
        <v>0</v>
      </c>
      <c r="F50" s="66">
        <f t="shared" si="0"/>
        <v>0</v>
      </c>
      <c r="G50" s="69">
        <f t="shared" si="2"/>
        <v>0</v>
      </c>
    </row>
    <row r="51" spans="1:7" ht="13.15" hidden="1" customHeight="1">
      <c r="A51" s="61">
        <f>'入力　発注書'!A50</f>
        <v>38</v>
      </c>
      <c r="B51" s="64" t="str">
        <f>'入力　発注書'!B50</f>
        <v>とうもろこし</v>
      </c>
      <c r="C51" s="65">
        <f>'入力　発注書'!D50</f>
        <v>128</v>
      </c>
      <c r="D51" s="65">
        <f>'入力　発注書'!E50</f>
        <v>96</v>
      </c>
      <c r="E51" s="65">
        <f>'入力　発注書'!M50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 thickBot="1">
      <c r="A52" s="67">
        <f>'入力　発注書'!A51</f>
        <v>39</v>
      </c>
      <c r="B52" s="64" t="str">
        <f>'入力　発注書'!B51</f>
        <v>キウイフルーツ</v>
      </c>
      <c r="C52" s="65">
        <f>'入力　発注書'!D51</f>
        <v>398</v>
      </c>
      <c r="D52" s="68">
        <f>'入力　発注書'!E51</f>
        <v>299</v>
      </c>
      <c r="E52" s="68">
        <f>'入力　発注書'!M51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>
      <c r="A53" s="67">
        <f>'入力　発注書'!A52</f>
        <v>40</v>
      </c>
      <c r="B53" s="64" t="str">
        <f>'入力　発注書'!B52</f>
        <v>枝豆２００g</v>
      </c>
      <c r="C53" s="65">
        <f>'入力　発注書'!D52</f>
        <v>328</v>
      </c>
      <c r="D53" s="68">
        <f>'入力　発注書'!E52</f>
        <v>246</v>
      </c>
      <c r="E53" s="68">
        <f>'入力　発注書'!M52</f>
        <v>0</v>
      </c>
      <c r="F53" s="66">
        <f t="shared" si="0"/>
        <v>0</v>
      </c>
      <c r="G53" s="69">
        <f t="shared" si="2"/>
        <v>0</v>
      </c>
    </row>
    <row r="54" spans="1:7" ht="13.15" customHeight="1">
      <c r="A54" s="67">
        <f>'入力　発注書'!A53</f>
        <v>41</v>
      </c>
      <c r="B54" s="64" t="str">
        <f>'入力　発注書'!B53</f>
        <v>ブロッコリー</v>
      </c>
      <c r="C54" s="65">
        <f>'入力　発注書'!D53</f>
        <v>108</v>
      </c>
      <c r="D54" s="68">
        <f>'入力　発注書'!E53</f>
        <v>81</v>
      </c>
      <c r="E54" s="68">
        <f>'入力　発注書'!M53</f>
        <v>0</v>
      </c>
      <c r="F54" s="66">
        <f t="shared" si="0"/>
        <v>0</v>
      </c>
      <c r="G54" s="69">
        <f t="shared" si="2"/>
        <v>0</v>
      </c>
    </row>
    <row r="55" spans="1:7" ht="13.15" customHeight="1">
      <c r="A55" s="61">
        <f>'入力　発注書'!A54</f>
        <v>42</v>
      </c>
      <c r="B55" s="64" t="str">
        <f>'入力　発注書'!B54</f>
        <v>シャインマスカット</v>
      </c>
      <c r="C55" s="65">
        <f>'入力　発注書'!D54</f>
        <v>1280</v>
      </c>
      <c r="D55" s="65">
        <f>'入力　発注書'!E54</f>
        <v>960</v>
      </c>
      <c r="E55" s="65">
        <f>'入力　発注書'!M54</f>
        <v>0</v>
      </c>
      <c r="F55" s="66">
        <f t="shared" si="0"/>
        <v>0</v>
      </c>
      <c r="G55" s="66">
        <f t="shared" si="2"/>
        <v>0</v>
      </c>
    </row>
    <row r="56" spans="1:7" ht="15.6" hidden="1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418</v>
      </c>
      <c r="D56" s="68">
        <f>'入力　発注書'!E55</f>
        <v>314</v>
      </c>
      <c r="E56" s="68">
        <f>'入力　発注書'!M55</f>
        <v>0</v>
      </c>
      <c r="F56" s="66">
        <f t="shared" si="0"/>
        <v>0</v>
      </c>
      <c r="G56" s="69">
        <f t="shared" si="2"/>
        <v>0</v>
      </c>
    </row>
    <row r="57" spans="1:7" ht="15.6" hidden="1" customHeight="1" thickBot="1">
      <c r="A57" s="67">
        <f>'入力　発注書'!A56</f>
        <v>44</v>
      </c>
      <c r="B57" s="64" t="str">
        <f>'入力　発注書'!B56</f>
        <v>オレンジ３個</v>
      </c>
      <c r="C57" s="65">
        <f>'入力　発注書'!D56</f>
        <v>398</v>
      </c>
      <c r="D57" s="68">
        <f>'入力　発注書'!E56</f>
        <v>299</v>
      </c>
      <c r="E57" s="68">
        <f>'入力　発注書'!M56</f>
        <v>0</v>
      </c>
      <c r="F57" s="66">
        <f t="shared" si="0"/>
        <v>0</v>
      </c>
      <c r="G57" s="69">
        <f t="shared" si="2"/>
        <v>0</v>
      </c>
    </row>
    <row r="58" spans="1:7" ht="15.6" hidden="1" customHeight="1" thickBot="1">
      <c r="A58" s="67">
        <f>'入力　発注書'!A57</f>
        <v>45</v>
      </c>
      <c r="B58" s="64" t="str">
        <f>'入力　発注書'!B57</f>
        <v>もも1個</v>
      </c>
      <c r="C58" s="65">
        <f>'入力　発注書'!D57</f>
        <v>200</v>
      </c>
      <c r="D58" s="68">
        <f>'入力　発注書'!E57</f>
        <v>150</v>
      </c>
      <c r="E58" s="68">
        <f>'入力　発注書'!M57</f>
        <v>0</v>
      </c>
      <c r="F58" s="66">
        <f t="shared" si="0"/>
        <v>0</v>
      </c>
      <c r="G58" s="69">
        <f t="shared" si="2"/>
        <v>0</v>
      </c>
    </row>
    <row r="59" spans="1:7" ht="15.6" hidden="1" customHeight="1">
      <c r="A59" s="67">
        <f>'入力　発注書'!A58</f>
        <v>46</v>
      </c>
      <c r="B59" s="64" t="str">
        <f>'入力　発注書'!B58</f>
        <v>デラウエア</v>
      </c>
      <c r="C59" s="65">
        <f>'入力　発注書'!D58</f>
        <v>398</v>
      </c>
      <c r="D59" s="68">
        <f>'入力　発注書'!E58</f>
        <v>299</v>
      </c>
      <c r="E59" s="68">
        <f>'入力　発注書'!M58</f>
        <v>0</v>
      </c>
      <c r="F59" s="66">
        <f t="shared" si="0"/>
        <v>0</v>
      </c>
      <c r="G59" s="69">
        <f t="shared" si="2"/>
        <v>0</v>
      </c>
    </row>
    <row r="60" spans="1:7" hidden="1">
      <c r="A60" s="67">
        <f>'入力　発注書'!A59</f>
        <v>47</v>
      </c>
      <c r="B60" s="64" t="str">
        <f>'入力　発注書'!B59</f>
        <v>たけのこ水煮</v>
      </c>
      <c r="C60" s="65">
        <f>'入力　発注書'!D59</f>
        <v>178</v>
      </c>
      <c r="D60" s="68">
        <f>'入力　発注書'!E59</f>
        <v>134</v>
      </c>
      <c r="E60" s="68">
        <f>'入力　発注書'!M59</f>
        <v>0</v>
      </c>
      <c r="F60" s="66">
        <f t="shared" si="0"/>
        <v>0</v>
      </c>
      <c r="G60" s="69">
        <f t="shared" si="2"/>
        <v>0</v>
      </c>
    </row>
    <row r="61" spans="1:7" ht="13.5" hidden="1" customHeight="1">
      <c r="A61" s="67">
        <f>'入力　発注書'!A60</f>
        <v>48</v>
      </c>
      <c r="B61" s="64" t="str">
        <f>'入力　発注書'!B60</f>
        <v>豚汁の具</v>
      </c>
      <c r="C61" s="65">
        <f>'入力　発注書'!D60</f>
        <v>178</v>
      </c>
      <c r="D61" s="68">
        <f>'入力　発注書'!E60</f>
        <v>134</v>
      </c>
      <c r="E61" s="68">
        <f>'入力　発注書'!M60</f>
        <v>0</v>
      </c>
      <c r="F61" s="66">
        <f t="shared" si="0"/>
        <v>0</v>
      </c>
      <c r="G61" s="69">
        <f t="shared" si="2"/>
        <v>0</v>
      </c>
    </row>
    <row r="62" spans="1:7" ht="14.25" customHeight="1" thickBot="1">
      <c r="A62" s="67">
        <f>'入力　発注書'!A61</f>
        <v>49</v>
      </c>
      <c r="B62" s="64" t="str">
        <f>'入力　発注書'!B61</f>
        <v>メロン</v>
      </c>
      <c r="C62" s="65">
        <f>'入力　発注書'!D61</f>
        <v>580</v>
      </c>
      <c r="D62" s="68">
        <f>'入力　発注書'!E61</f>
        <v>435</v>
      </c>
      <c r="E62" s="68">
        <f>'入力　発注書'!M61</f>
        <v>0</v>
      </c>
      <c r="F62" s="66">
        <f t="shared" si="0"/>
        <v>0</v>
      </c>
      <c r="G62" s="69">
        <f t="shared" si="2"/>
        <v>0</v>
      </c>
    </row>
    <row r="63" spans="1:7" ht="13.5" hidden="1" customHeight="1">
      <c r="A63" s="67">
        <f>'入力　発注書'!A62</f>
        <v>50</v>
      </c>
      <c r="B63" s="64" t="str">
        <f>'入力　発注書'!B62</f>
        <v>ブドウ</v>
      </c>
      <c r="C63" s="65">
        <f>'入力　発注書'!D62</f>
        <v>498</v>
      </c>
      <c r="D63" s="68">
        <f>'入力　発注書'!E62</f>
        <v>374</v>
      </c>
      <c r="E63" s="68">
        <f>'入力　発注書'!M62</f>
        <v>0</v>
      </c>
      <c r="F63" s="66">
        <f t="shared" si="0"/>
        <v>0</v>
      </c>
      <c r="G63" s="69">
        <f t="shared" si="2"/>
        <v>0</v>
      </c>
    </row>
    <row r="64" spans="1:7" ht="14.25" hidden="1" customHeight="1" thickBot="1">
      <c r="A64" s="67">
        <f>'入力　発注書'!A63</f>
        <v>51</v>
      </c>
      <c r="B64" s="64" t="str">
        <f>'入力　発注書'!B63</f>
        <v>イチゴ</v>
      </c>
      <c r="C64" s="65">
        <f>'入力　発注書'!D63</f>
        <v>498</v>
      </c>
      <c r="D64" s="68">
        <f>'入力　発注書'!E63</f>
        <v>374</v>
      </c>
      <c r="E64" s="68">
        <f>'入力　発注書'!M63</f>
        <v>0</v>
      </c>
      <c r="F64" s="66">
        <f t="shared" si="0"/>
        <v>0</v>
      </c>
      <c r="G64" s="69">
        <f t="shared" si="2"/>
        <v>0</v>
      </c>
    </row>
    <row r="65" spans="1:7" ht="19.5" hidden="1" thickBo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発注書'!M64</f>
        <v>0</v>
      </c>
      <c r="F65" s="66">
        <f t="shared" si="0"/>
        <v>0</v>
      </c>
      <c r="G65" s="69">
        <f t="shared" si="2"/>
        <v>0</v>
      </c>
    </row>
    <row r="66" spans="1:7" ht="19.5" hidden="1" thickBo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発注書'!M65</f>
        <v>0</v>
      </c>
      <c r="F66" s="66">
        <f t="shared" si="0"/>
        <v>0</v>
      </c>
      <c r="G66" s="69">
        <f t="shared" si="2"/>
        <v>0</v>
      </c>
    </row>
    <row r="67" spans="1:7" ht="19.5" hidden="1" thickBo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発注書'!M66</f>
        <v>0</v>
      </c>
      <c r="F67" s="66">
        <f t="shared" si="0"/>
        <v>0</v>
      </c>
      <c r="G67" s="69">
        <f t="shared" si="2"/>
        <v>0</v>
      </c>
    </row>
    <row r="68" spans="1:7" ht="19.5" hidden="1" thickBo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発注書'!M67</f>
        <v>0</v>
      </c>
      <c r="F68" s="66">
        <f t="shared" si="0"/>
        <v>0</v>
      </c>
      <c r="G68" s="69">
        <f t="shared" si="2"/>
        <v>0</v>
      </c>
    </row>
    <row r="69" spans="1:7" ht="14.25" hidden="1" customHeight="1">
      <c r="A69" s="67">
        <f>'入力　発注書'!A68</f>
        <v>56</v>
      </c>
      <c r="B69" s="64" t="str">
        <f>'入力　発注書'!B68</f>
        <v>新玉ねぎ</v>
      </c>
      <c r="C69" s="65">
        <f>'入力　発注書'!D68</f>
        <v>218</v>
      </c>
      <c r="D69" s="68">
        <f>'入力　発注書'!E68</f>
        <v>164</v>
      </c>
      <c r="E69" s="68">
        <f>'入力　発注書'!M68</f>
        <v>0</v>
      </c>
      <c r="F69" s="66">
        <f t="shared" si="0"/>
        <v>0</v>
      </c>
      <c r="G69" s="69">
        <f t="shared" si="2"/>
        <v>0</v>
      </c>
    </row>
    <row r="70" spans="1:7" ht="19.5" hidden="1" thickBot="1">
      <c r="A70" s="70">
        <f>'入力　発注書'!A69</f>
        <v>57</v>
      </c>
      <c r="B70" s="64" t="str">
        <f>'入力　発注書'!B69</f>
        <v>切り干し大根</v>
      </c>
      <c r="C70" s="65">
        <f>'入力　発注書'!D69</f>
        <v>238</v>
      </c>
      <c r="D70" s="68">
        <f>'入力　発注書'!E69</f>
        <v>179</v>
      </c>
      <c r="E70" s="68">
        <f>'入力　発注書'!M69</f>
        <v>0</v>
      </c>
      <c r="F70" s="66">
        <f t="shared" si="0"/>
        <v>0</v>
      </c>
      <c r="G70" s="69">
        <f t="shared" si="2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発注書'!M70</f>
        <v>0</v>
      </c>
      <c r="E71" s="73">
        <f>IF(D71&lt;&gt;0,1,0)</f>
        <v>0</v>
      </c>
      <c r="F71" s="73"/>
      <c r="G71" s="74">
        <f>E71*D71</f>
        <v>0</v>
      </c>
    </row>
    <row r="72" spans="1:7" s="38" customFormat="1" ht="16.5" customHeight="1" thickTop="1">
      <c r="A72" s="90"/>
      <c r="B72" s="92" t="s">
        <v>39</v>
      </c>
      <c r="C72" s="59"/>
      <c r="D72" s="94" t="s">
        <v>44</v>
      </c>
      <c r="E72" s="95"/>
      <c r="F72" s="40">
        <f>SUM(F14:F70)</f>
        <v>0</v>
      </c>
      <c r="G72" s="40">
        <f>SUM(G14:G70)</f>
        <v>0</v>
      </c>
    </row>
    <row r="73" spans="1:7" s="38" customFormat="1" ht="16.5" customHeight="1">
      <c r="A73" s="91"/>
      <c r="B73" s="93"/>
      <c r="C73" s="60"/>
      <c r="D73" s="96" t="s">
        <v>45</v>
      </c>
      <c r="E73" s="97"/>
      <c r="F73" s="37"/>
      <c r="G73" s="37">
        <f>G71</f>
        <v>0</v>
      </c>
    </row>
    <row r="74" spans="1:7" ht="14.25" customHeight="1">
      <c r="B74" s="39" t="s">
        <v>46</v>
      </c>
      <c r="C74" s="39"/>
    </row>
  </sheetData>
  <sheetProtection sheet="1" selectLockedCells="1" autoFilter="0" selectUnlockedCells="1"/>
  <autoFilter ref="A13:G74" xr:uid="{9F168BD2-722D-4F1F-95BC-CA982854E6A7}">
    <filterColumn colId="6">
      <filters blank="1">
        <filter val="1,032"/>
        <filter val="1,040"/>
        <filter val="1,640"/>
        <filter val="1,945"/>
        <filter val="12,917"/>
        <filter val="208"/>
        <filter val="222"/>
        <filter val="312"/>
        <filter val="324"/>
        <filter val="378"/>
        <filter val="388"/>
        <filter val="402"/>
        <filter val="480"/>
        <filter val="550"/>
        <filter val="820"/>
        <filter val="888"/>
      </filters>
    </filterColumn>
  </autoFilter>
  <mergeCells count="17">
    <mergeCell ref="F12:G12"/>
    <mergeCell ref="F11:G11"/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</mergeCells>
  <phoneticPr fontId="3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4BCC-AF2A-4F64-B690-6316D5D68525}">
  <sheetPr>
    <tabColor rgb="FFFFFFCC"/>
  </sheetPr>
  <dimension ref="A1:L74"/>
  <sheetViews>
    <sheetView topLeftCell="A38" workbookViewId="0">
      <selection activeCell="G71" sqref="G7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23</v>
      </c>
    </row>
    <row r="2" spans="1:12" customFormat="1" ht="24" customHeight="1" thickBot="1">
      <c r="B2" s="76" t="s">
        <v>38</v>
      </c>
      <c r="C2" s="87">
        <f>'入力　発注書'!D8</f>
        <v>46231</v>
      </c>
      <c r="D2" s="87"/>
      <c r="E2" s="87"/>
      <c r="F2" s="1"/>
    </row>
    <row r="3" spans="1:12" ht="9.6" customHeight="1" thickTop="1"/>
    <row r="4" spans="1:12" ht="14.45" customHeight="1">
      <c r="D4" s="98" t="s">
        <v>24</v>
      </c>
      <c r="E4" s="98"/>
      <c r="F4" s="98"/>
      <c r="G4" s="98"/>
    </row>
    <row r="5" spans="1:12" ht="14.45" customHeight="1">
      <c r="D5" s="99" t="s">
        <v>25</v>
      </c>
      <c r="E5" s="99"/>
      <c r="F5" s="99"/>
      <c r="G5" s="99"/>
    </row>
    <row r="6" spans="1:12" ht="13.5" customHeight="1">
      <c r="E6" s="109" t="s">
        <v>27</v>
      </c>
      <c r="F6" s="109"/>
      <c r="G6" s="109"/>
    </row>
    <row r="7" spans="1:12" ht="13.5" customHeight="1">
      <c r="B7" s="2"/>
      <c r="C7" s="2"/>
      <c r="D7" s="8"/>
      <c r="E7" s="109" t="s">
        <v>28</v>
      </c>
      <c r="F7" s="109"/>
      <c r="G7" s="109"/>
      <c r="K7" s="4"/>
      <c r="L7" s="4"/>
    </row>
    <row r="8" spans="1:12" s="3" customFormat="1" ht="24.6" customHeight="1" thickBot="1">
      <c r="B8" s="77" t="s">
        <v>0</v>
      </c>
      <c r="C8" s="86" t="s">
        <v>34</v>
      </c>
      <c r="D8" s="86"/>
      <c r="E8" s="86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52</v>
      </c>
      <c r="C11" s="88">
        <f>G72+G73</f>
        <v>0</v>
      </c>
      <c r="D11" s="88"/>
      <c r="E11" s="89"/>
      <c r="F11" s="84" t="s">
        <v>53</v>
      </c>
      <c r="G11" s="85"/>
    </row>
    <row r="12" spans="1:12" ht="16.5" customHeight="1" thickTop="1">
      <c r="A12" s="100"/>
      <c r="B12" s="102" t="s">
        <v>36</v>
      </c>
      <c r="C12" s="104" t="s">
        <v>51</v>
      </c>
      <c r="D12" s="104"/>
      <c r="E12" s="105" t="s">
        <v>37</v>
      </c>
      <c r="F12" s="107" t="s">
        <v>50</v>
      </c>
      <c r="G12" s="107"/>
    </row>
    <row r="13" spans="1:12" ht="16.5" customHeight="1">
      <c r="A13" s="101"/>
      <c r="B13" s="103"/>
      <c r="C13" s="63" t="s">
        <v>48</v>
      </c>
      <c r="D13" s="62" t="s">
        <v>49</v>
      </c>
      <c r="E13" s="106"/>
      <c r="F13" s="63" t="s">
        <v>48</v>
      </c>
      <c r="G13" s="62" t="s">
        <v>49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218</v>
      </c>
      <c r="D14" s="65">
        <f>'入力　発注書'!E13</f>
        <v>164</v>
      </c>
      <c r="E14" s="65">
        <f>'入力　発注書'!N13</f>
        <v>0</v>
      </c>
      <c r="F14" s="66">
        <f>$E14*C14</f>
        <v>0</v>
      </c>
      <c r="G14" s="66">
        <f>$E14*D14</f>
        <v>0</v>
      </c>
    </row>
    <row r="15" spans="1:12" ht="13.15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発注書'!N14</f>
        <v>0</v>
      </c>
      <c r="F15" s="66">
        <f t="shared" ref="F15:F70" si="0">$E15*C15</f>
        <v>0</v>
      </c>
      <c r="G15" s="69">
        <f t="shared" ref="G15:G71" si="1">E15*D15</f>
        <v>0</v>
      </c>
    </row>
    <row r="16" spans="1:12" ht="12.6" customHeight="1">
      <c r="A16" s="61">
        <f>'入力　発注書'!A15</f>
        <v>3</v>
      </c>
      <c r="B16" s="64" t="str">
        <f>'入力　発注書'!B15</f>
        <v>玉ねぎS</v>
      </c>
      <c r="C16" s="65">
        <f>'入力　発注書'!D15</f>
        <v>138</v>
      </c>
      <c r="D16" s="65">
        <f>'入力　発注書'!E15</f>
        <v>104</v>
      </c>
      <c r="E16" s="65">
        <f>'入力　発注書'!N15</f>
        <v>0</v>
      </c>
      <c r="F16" s="66">
        <f t="shared" si="0"/>
        <v>0</v>
      </c>
      <c r="G16" s="66">
        <f t="shared" si="1"/>
        <v>0</v>
      </c>
    </row>
    <row r="17" spans="1:7" ht="12.6" customHeight="1">
      <c r="A17" s="67">
        <f>'入力　発注書'!A16</f>
        <v>4</v>
      </c>
      <c r="B17" s="64" t="str">
        <f>'入力　発注書'!B16</f>
        <v>里芋</v>
      </c>
      <c r="C17" s="65">
        <f>'入力　発注書'!D16</f>
        <v>198</v>
      </c>
      <c r="D17" s="68">
        <f>'入力　発注書'!E16</f>
        <v>149</v>
      </c>
      <c r="E17" s="68">
        <f>'入力　発注書'!N16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</v>
      </c>
      <c r="C18" s="65">
        <f>'入力　発注書'!D17</f>
        <v>128</v>
      </c>
      <c r="D18" s="68">
        <f>'入力　発注書'!E17</f>
        <v>96</v>
      </c>
      <c r="E18" s="68">
        <f>'入力　発注書'!N17</f>
        <v>0</v>
      </c>
      <c r="F18" s="66">
        <f t="shared" si="0"/>
        <v>0</v>
      </c>
      <c r="G18" s="69">
        <f t="shared" si="1"/>
        <v>0</v>
      </c>
    </row>
    <row r="19" spans="1:7" ht="13.15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96</v>
      </c>
      <c r="E19" s="65">
        <f>'入力　発注書'!N18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138</v>
      </c>
      <c r="D20" s="68">
        <f>'入力　発注書'!E19</f>
        <v>104</v>
      </c>
      <c r="E20" s="68">
        <f>'入力　発注書'!N19</f>
        <v>0</v>
      </c>
      <c r="F20" s="66">
        <f t="shared" si="0"/>
        <v>0</v>
      </c>
      <c r="G20" s="69">
        <f t="shared" si="1"/>
        <v>0</v>
      </c>
    </row>
    <row r="21" spans="1:7" ht="13.15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288</v>
      </c>
      <c r="D21" s="65">
        <f>'入力　発注書'!E20</f>
        <v>216</v>
      </c>
      <c r="E21" s="65">
        <f>'入力　発注書'!N20</f>
        <v>0</v>
      </c>
      <c r="F21" s="66">
        <f t="shared" si="0"/>
        <v>0</v>
      </c>
      <c r="G21" s="66">
        <f t="shared" si="1"/>
        <v>0</v>
      </c>
    </row>
    <row r="22" spans="1:7" ht="13.15" customHeight="1">
      <c r="A22" s="67">
        <f>'入力　発注書'!A21</f>
        <v>9</v>
      </c>
      <c r="B22" s="64" t="str">
        <f>'入力　発注書'!B21</f>
        <v>フルーツトマト</v>
      </c>
      <c r="C22" s="65">
        <f>'入力　発注書'!D21</f>
        <v>238</v>
      </c>
      <c r="D22" s="68">
        <f>'入力　発注書'!E21</f>
        <v>179</v>
      </c>
      <c r="E22" s="68">
        <f>'入力　発注書'!N21</f>
        <v>0</v>
      </c>
      <c r="F22" s="66">
        <f t="shared" si="0"/>
        <v>0</v>
      </c>
      <c r="G22" s="69">
        <f t="shared" si="1"/>
        <v>0</v>
      </c>
    </row>
    <row r="23" spans="1:7" ht="13.15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298</v>
      </c>
      <c r="D23" s="68">
        <f>'入力　発注書'!E22</f>
        <v>224</v>
      </c>
      <c r="E23" s="68">
        <f>'入力　発注書'!N22</f>
        <v>0</v>
      </c>
      <c r="F23" s="66">
        <f t="shared" si="0"/>
        <v>0</v>
      </c>
      <c r="G23" s="69">
        <f t="shared" si="1"/>
        <v>0</v>
      </c>
    </row>
    <row r="24" spans="1:7" ht="13.15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198</v>
      </c>
      <c r="D24" s="68">
        <f>'入力　発注書'!E23</f>
        <v>149</v>
      </c>
      <c r="E24" s="68">
        <f>'入力　発注書'!N23</f>
        <v>0</v>
      </c>
      <c r="F24" s="66">
        <f t="shared" si="0"/>
        <v>0</v>
      </c>
      <c r="G24" s="69">
        <f t="shared" si="1"/>
        <v>0</v>
      </c>
    </row>
    <row r="25" spans="1:7" ht="13.15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198</v>
      </c>
      <c r="D25" s="65">
        <f>'入力　発注書'!E24</f>
        <v>149</v>
      </c>
      <c r="E25" s="65">
        <f>'入力　発注書'!N24</f>
        <v>0</v>
      </c>
      <c r="F25" s="66">
        <f t="shared" si="0"/>
        <v>0</v>
      </c>
      <c r="G25" s="66">
        <f t="shared" si="1"/>
        <v>0</v>
      </c>
    </row>
    <row r="26" spans="1:7" ht="13.15" customHeight="1">
      <c r="A26" s="67">
        <f>'入力　発注書'!A25</f>
        <v>13</v>
      </c>
      <c r="B26" s="64" t="str">
        <f>'入力　発注書'!B25</f>
        <v>キャベツ1個</v>
      </c>
      <c r="C26" s="65">
        <f>'入力　発注書'!D25</f>
        <v>248</v>
      </c>
      <c r="D26" s="68">
        <f>'入力　発注書'!E25</f>
        <v>186</v>
      </c>
      <c r="E26" s="68">
        <f>'入力　発注書'!N25</f>
        <v>0</v>
      </c>
      <c r="F26" s="66">
        <f t="shared" si="0"/>
        <v>0</v>
      </c>
      <c r="G26" s="69">
        <f t="shared" si="1"/>
        <v>0</v>
      </c>
    </row>
    <row r="27" spans="1:7" ht="13.15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98</v>
      </c>
      <c r="D27" s="65">
        <f>'入力　発注書'!E26</f>
        <v>74</v>
      </c>
      <c r="E27" s="65">
        <f>'入力　発注書'!N26</f>
        <v>0</v>
      </c>
      <c r="F27" s="66">
        <f t="shared" si="0"/>
        <v>0</v>
      </c>
      <c r="G27" s="66">
        <f t="shared" si="1"/>
        <v>0</v>
      </c>
    </row>
    <row r="28" spans="1:7" ht="13.15" customHeight="1">
      <c r="A28" s="67">
        <f>'入力　発注書'!A27</f>
        <v>15</v>
      </c>
      <c r="B28" s="64" t="str">
        <f>'入力　発注書'!B27</f>
        <v>白菜1/2個</v>
      </c>
      <c r="C28" s="65">
        <f>'入力　発注書'!D27</f>
        <v>248</v>
      </c>
      <c r="D28" s="68">
        <f>'入力　発注書'!E27</f>
        <v>186</v>
      </c>
      <c r="E28" s="68">
        <f>'入力　発注書'!N27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大根1本</v>
      </c>
      <c r="C29" s="65">
        <f>'入力　発注書'!D28</f>
        <v>128</v>
      </c>
      <c r="D29" s="68">
        <f>'入力　発注書'!E28</f>
        <v>96</v>
      </c>
      <c r="E29" s="68">
        <f>'入力　発注書'!N28</f>
        <v>0</v>
      </c>
      <c r="F29" s="66">
        <f t="shared" si="0"/>
        <v>0</v>
      </c>
      <c r="G29" s="69">
        <f t="shared" si="1"/>
        <v>0</v>
      </c>
    </row>
    <row r="30" spans="1:7" ht="13.15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158</v>
      </c>
      <c r="D30" s="65">
        <f>'入力　発注書'!E29</f>
        <v>119</v>
      </c>
      <c r="E30" s="65">
        <f>'入力　発注書'!N29</f>
        <v>0</v>
      </c>
      <c r="F30" s="66">
        <f t="shared" si="0"/>
        <v>0</v>
      </c>
      <c r="G30" s="66">
        <f t="shared" si="1"/>
        <v>0</v>
      </c>
    </row>
    <row r="31" spans="1:7" ht="13.15" customHeight="1">
      <c r="A31" s="67">
        <f>'入力　発注書'!A30</f>
        <v>18</v>
      </c>
      <c r="B31" s="64" t="str">
        <f>'入力　発注書'!B30</f>
        <v>レタス</v>
      </c>
      <c r="C31" s="65">
        <f>'入力　発注書'!D30</f>
        <v>198</v>
      </c>
      <c r="D31" s="68">
        <f>'入力　発注書'!E30</f>
        <v>149</v>
      </c>
      <c r="E31" s="68">
        <f>'入力　発注書'!N30</f>
        <v>0</v>
      </c>
      <c r="F31" s="66">
        <f t="shared" si="0"/>
        <v>0</v>
      </c>
      <c r="G31" s="69">
        <f t="shared" si="1"/>
        <v>0</v>
      </c>
    </row>
    <row r="32" spans="1:7" ht="13.15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98</v>
      </c>
      <c r="D32" s="68">
        <f>'入力　発注書'!E31</f>
        <v>74</v>
      </c>
      <c r="E32" s="68">
        <f>'入力　発注書'!N31</f>
        <v>0</v>
      </c>
      <c r="F32" s="66">
        <f t="shared" si="0"/>
        <v>0</v>
      </c>
      <c r="G32" s="69">
        <f t="shared" si="1"/>
        <v>0</v>
      </c>
    </row>
    <row r="33" spans="1:7" ht="13.15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発注書'!N32</f>
        <v>0</v>
      </c>
      <c r="F33" s="66">
        <f t="shared" si="0"/>
        <v>0</v>
      </c>
      <c r="G33" s="69">
        <f t="shared" si="1"/>
        <v>0</v>
      </c>
    </row>
    <row r="34" spans="1:7" ht="13.15" customHeight="1">
      <c r="A34" s="67">
        <f>'入力　発注書'!A33</f>
        <v>21</v>
      </c>
      <c r="B34" s="64" t="str">
        <f>'入力　発注書'!B33</f>
        <v>茄子2本</v>
      </c>
      <c r="C34" s="65">
        <f>'入力　発注書'!D33</f>
        <v>178</v>
      </c>
      <c r="D34" s="68">
        <f>'入力　発注書'!E33</f>
        <v>134</v>
      </c>
      <c r="E34" s="68">
        <f>'入力　発注書'!N33</f>
        <v>0</v>
      </c>
      <c r="F34" s="66">
        <f t="shared" si="0"/>
        <v>0</v>
      </c>
      <c r="G34" s="69">
        <f t="shared" si="1"/>
        <v>0</v>
      </c>
    </row>
    <row r="35" spans="1:7" ht="13.15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238</v>
      </c>
      <c r="D35" s="68">
        <f>'入力　発注書'!E34</f>
        <v>179</v>
      </c>
      <c r="E35" s="68">
        <f>'入力　発注書'!N34</f>
        <v>0</v>
      </c>
      <c r="F35" s="66">
        <f t="shared" si="0"/>
        <v>0</v>
      </c>
      <c r="G35" s="69">
        <f t="shared" si="1"/>
        <v>0</v>
      </c>
    </row>
    <row r="36" spans="1:7" ht="13.15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248</v>
      </c>
      <c r="D36" s="68">
        <f>'入力　発注書'!E35</f>
        <v>186</v>
      </c>
      <c r="E36" s="68">
        <f>'入力　発注書'!N35</f>
        <v>0</v>
      </c>
      <c r="F36" s="66">
        <f t="shared" si="0"/>
        <v>0</v>
      </c>
      <c r="G36" s="69">
        <f t="shared" si="1"/>
        <v>0</v>
      </c>
    </row>
    <row r="37" spans="1:7" ht="13.15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198</v>
      </c>
      <c r="D37" s="68">
        <f>'入力　発注書'!E36</f>
        <v>149</v>
      </c>
      <c r="E37" s="68">
        <f>'入力　発注書'!N36</f>
        <v>0</v>
      </c>
      <c r="F37" s="66">
        <f t="shared" si="0"/>
        <v>0</v>
      </c>
      <c r="G37" s="69">
        <f t="shared" si="1"/>
        <v>0</v>
      </c>
    </row>
    <row r="38" spans="1:7" ht="13.15" customHeight="1">
      <c r="A38" s="67">
        <f>'入力　発注書'!A37</f>
        <v>25</v>
      </c>
      <c r="B38" s="64" t="str">
        <f>'入力　発注書'!B37</f>
        <v>ほうれん草</v>
      </c>
      <c r="C38" s="65">
        <f>'入力　発注書'!D37</f>
        <v>198</v>
      </c>
      <c r="D38" s="68">
        <f>'入力　発注書'!E37</f>
        <v>149</v>
      </c>
      <c r="E38" s="68">
        <f>'入力　発注書'!N37</f>
        <v>0</v>
      </c>
      <c r="F38" s="66">
        <f t="shared" si="0"/>
        <v>0</v>
      </c>
      <c r="G38" s="69">
        <f t="shared" si="1"/>
        <v>0</v>
      </c>
    </row>
    <row r="39" spans="1:7" ht="13.15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111</v>
      </c>
      <c r="E39" s="68">
        <f>'入力　発注書'!N38</f>
        <v>0</v>
      </c>
      <c r="F39" s="66">
        <f t="shared" si="0"/>
        <v>0</v>
      </c>
      <c r="G39" s="69">
        <f t="shared" si="1"/>
        <v>0</v>
      </c>
    </row>
    <row r="40" spans="1:7" ht="13.15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148</v>
      </c>
      <c r="D40" s="68">
        <f>'入力　発注書'!E39</f>
        <v>111</v>
      </c>
      <c r="E40" s="68">
        <f>'入力　発注書'!N39</f>
        <v>0</v>
      </c>
      <c r="F40" s="66">
        <f t="shared" si="0"/>
        <v>0</v>
      </c>
      <c r="G40" s="69">
        <f t="shared" si="1"/>
        <v>0</v>
      </c>
    </row>
    <row r="41" spans="1:7" ht="13.15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178</v>
      </c>
      <c r="D41" s="65">
        <f>'入力　発注書'!E40</f>
        <v>134</v>
      </c>
      <c r="E41" s="65">
        <f>'入力　発注書'!N40</f>
        <v>0</v>
      </c>
      <c r="F41" s="66">
        <f t="shared" si="0"/>
        <v>0</v>
      </c>
      <c r="G41" s="66">
        <f t="shared" si="1"/>
        <v>0</v>
      </c>
    </row>
    <row r="42" spans="1:7" ht="13.15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発注書'!N41</f>
        <v>0</v>
      </c>
      <c r="F42" s="66">
        <f t="shared" si="0"/>
        <v>0</v>
      </c>
      <c r="G42" s="69">
        <f t="shared" si="1"/>
        <v>0</v>
      </c>
    </row>
    <row r="43" spans="1:7" ht="13.15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発注書'!N42</f>
        <v>0</v>
      </c>
      <c r="F43" s="66">
        <f t="shared" si="0"/>
        <v>0</v>
      </c>
      <c r="G43" s="69">
        <f t="shared" si="1"/>
        <v>0</v>
      </c>
    </row>
    <row r="44" spans="1:7" ht="13.15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108</v>
      </c>
      <c r="D44" s="68">
        <f>'入力　発注書'!E43</f>
        <v>81</v>
      </c>
      <c r="E44" s="68">
        <f>'入力　発注書'!N43</f>
        <v>0</v>
      </c>
      <c r="F44" s="66">
        <f t="shared" si="0"/>
        <v>0</v>
      </c>
      <c r="G44" s="69">
        <f t="shared" si="1"/>
        <v>0</v>
      </c>
    </row>
    <row r="45" spans="1:7" ht="13.15" customHeight="1">
      <c r="A45" s="67">
        <f>'入力　発注書'!A44</f>
        <v>32</v>
      </c>
      <c r="B45" s="64" t="str">
        <f>'入力　発注書'!B44</f>
        <v>にら</v>
      </c>
      <c r="C45" s="65">
        <f>'入力　発注書'!D44</f>
        <v>98</v>
      </c>
      <c r="D45" s="68">
        <f>'入力　発注書'!E44</f>
        <v>74</v>
      </c>
      <c r="E45" s="68">
        <f>'入力　発注書'!N44</f>
        <v>0</v>
      </c>
      <c r="F45" s="66">
        <f t="shared" si="0"/>
        <v>0</v>
      </c>
      <c r="G45" s="69">
        <f t="shared" si="1"/>
        <v>0</v>
      </c>
    </row>
    <row r="46" spans="1:7" ht="13.15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発注書'!N45</f>
        <v>0</v>
      </c>
      <c r="F46" s="66">
        <f t="shared" si="0"/>
        <v>0</v>
      </c>
      <c r="G46" s="69">
        <f t="shared" si="1"/>
        <v>0</v>
      </c>
    </row>
    <row r="47" spans="1:7" ht="13.15" customHeight="1">
      <c r="A47" s="61">
        <f>'入力　発注書'!A46</f>
        <v>34</v>
      </c>
      <c r="B47" s="64" t="str">
        <f>'入力　発注書'!B46</f>
        <v>中国ニンニク</v>
      </c>
      <c r="C47" s="65">
        <f>'入力　発注書'!D46</f>
        <v>168</v>
      </c>
      <c r="D47" s="65">
        <f>'入力　発注書'!E46</f>
        <v>126</v>
      </c>
      <c r="E47" s="65">
        <f>'入力　発注書'!N46</f>
        <v>0</v>
      </c>
      <c r="F47" s="66">
        <f t="shared" si="0"/>
        <v>0</v>
      </c>
      <c r="G47" s="66">
        <f t="shared" si="1"/>
        <v>0</v>
      </c>
    </row>
    <row r="48" spans="1:7" ht="13.15" customHeight="1">
      <c r="A48" s="67">
        <f>'入力　発注書'!A47</f>
        <v>35</v>
      </c>
      <c r="B48" s="64" t="str">
        <f>'入力　発注書'!B47</f>
        <v>みょうが</v>
      </c>
      <c r="C48" s="65">
        <f>'入力　発注書'!D47</f>
        <v>198</v>
      </c>
      <c r="D48" s="68">
        <f>'入力　発注書'!E47</f>
        <v>149</v>
      </c>
      <c r="E48" s="68">
        <f>'入力　発注書'!N47</f>
        <v>0</v>
      </c>
      <c r="F48" s="66">
        <f t="shared" si="0"/>
        <v>0</v>
      </c>
      <c r="G48" s="69">
        <f t="shared" si="1"/>
        <v>0</v>
      </c>
    </row>
    <row r="49" spans="1:7" ht="13.15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138</v>
      </c>
      <c r="D49" s="68">
        <f>'入力　発注書'!E48</f>
        <v>104</v>
      </c>
      <c r="E49" s="68">
        <f>'入力　発注書'!N48</f>
        <v>0</v>
      </c>
      <c r="F49" s="66">
        <f t="shared" si="0"/>
        <v>0</v>
      </c>
      <c r="G49" s="69">
        <f t="shared" si="1"/>
        <v>0</v>
      </c>
    </row>
    <row r="50" spans="1:7" ht="13.15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538</v>
      </c>
      <c r="D50" s="68">
        <f>'入力　発注書'!E49</f>
        <v>404</v>
      </c>
      <c r="E50" s="68">
        <f>'入力　発注書'!N49</f>
        <v>0</v>
      </c>
      <c r="F50" s="66">
        <f t="shared" si="0"/>
        <v>0</v>
      </c>
      <c r="G50" s="69">
        <f t="shared" si="1"/>
        <v>0</v>
      </c>
    </row>
    <row r="51" spans="1:7" ht="13.15" customHeight="1">
      <c r="A51" s="61">
        <f>'入力　発注書'!A50</f>
        <v>38</v>
      </c>
      <c r="B51" s="64" t="str">
        <f>'入力　発注書'!B50</f>
        <v>とうもろこし</v>
      </c>
      <c r="C51" s="65">
        <f>'入力　発注書'!D50</f>
        <v>128</v>
      </c>
      <c r="D51" s="65">
        <f>'入力　発注書'!E50</f>
        <v>96</v>
      </c>
      <c r="E51" s="65">
        <f>'入力　発注書'!N50</f>
        <v>0</v>
      </c>
      <c r="F51" s="66">
        <f t="shared" si="0"/>
        <v>0</v>
      </c>
      <c r="G51" s="66">
        <f t="shared" si="1"/>
        <v>0</v>
      </c>
    </row>
    <row r="52" spans="1:7" ht="13.15" customHeight="1">
      <c r="A52" s="67">
        <f>'入力　発注書'!A51</f>
        <v>39</v>
      </c>
      <c r="B52" s="64" t="str">
        <f>'入力　発注書'!B51</f>
        <v>キウイフルーツ</v>
      </c>
      <c r="C52" s="65">
        <f>'入力　発注書'!D51</f>
        <v>398</v>
      </c>
      <c r="D52" s="68">
        <f>'入力　発注書'!E51</f>
        <v>299</v>
      </c>
      <c r="E52" s="68">
        <f>'入力　発注書'!N51</f>
        <v>0</v>
      </c>
      <c r="F52" s="66">
        <f t="shared" si="0"/>
        <v>0</v>
      </c>
      <c r="G52" s="69">
        <f t="shared" si="1"/>
        <v>0</v>
      </c>
    </row>
    <row r="53" spans="1:7" ht="13.15" customHeight="1">
      <c r="A53" s="67">
        <f>'入力　発注書'!A52</f>
        <v>40</v>
      </c>
      <c r="B53" s="64" t="str">
        <f>'入力　発注書'!B52</f>
        <v>枝豆２００g</v>
      </c>
      <c r="C53" s="65">
        <f>'入力　発注書'!D52</f>
        <v>328</v>
      </c>
      <c r="D53" s="68">
        <f>'入力　発注書'!E52</f>
        <v>246</v>
      </c>
      <c r="E53" s="68">
        <f>'入力　発注書'!N52</f>
        <v>0</v>
      </c>
      <c r="F53" s="66">
        <f t="shared" si="0"/>
        <v>0</v>
      </c>
      <c r="G53" s="69">
        <f t="shared" si="1"/>
        <v>0</v>
      </c>
    </row>
    <row r="54" spans="1:7" ht="13.15" customHeight="1">
      <c r="A54" s="67">
        <f>'入力　発注書'!A53</f>
        <v>41</v>
      </c>
      <c r="B54" s="64" t="str">
        <f>'入力　発注書'!B53</f>
        <v>ブロッコリー</v>
      </c>
      <c r="C54" s="65">
        <f>'入力　発注書'!D53</f>
        <v>108</v>
      </c>
      <c r="D54" s="68">
        <f>'入力　発注書'!E53</f>
        <v>81</v>
      </c>
      <c r="E54" s="68">
        <f>'入力　発注書'!N53</f>
        <v>0</v>
      </c>
      <c r="F54" s="66">
        <f t="shared" si="0"/>
        <v>0</v>
      </c>
      <c r="G54" s="69">
        <f t="shared" si="1"/>
        <v>0</v>
      </c>
    </row>
    <row r="55" spans="1:7" ht="13.15" customHeight="1">
      <c r="A55" s="61">
        <f>'入力　発注書'!A54</f>
        <v>42</v>
      </c>
      <c r="B55" s="64" t="str">
        <f>'入力　発注書'!B54</f>
        <v>シャインマスカット</v>
      </c>
      <c r="C55" s="65">
        <f>'入力　発注書'!D54</f>
        <v>1280</v>
      </c>
      <c r="D55" s="65">
        <f>'入力　発注書'!E54</f>
        <v>960</v>
      </c>
      <c r="E55" s="65">
        <f>'入力　発注書'!N54</f>
        <v>0</v>
      </c>
      <c r="F55" s="66">
        <f t="shared" si="0"/>
        <v>0</v>
      </c>
      <c r="G55" s="66">
        <f t="shared" si="1"/>
        <v>0</v>
      </c>
    </row>
    <row r="56" spans="1:7" ht="15.6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418</v>
      </c>
      <c r="D56" s="68">
        <f>'入力　発注書'!E55</f>
        <v>314</v>
      </c>
      <c r="E56" s="68">
        <f>'入力　発注書'!N55</f>
        <v>0</v>
      </c>
      <c r="F56" s="66">
        <f t="shared" si="0"/>
        <v>0</v>
      </c>
      <c r="G56" s="69">
        <f t="shared" si="1"/>
        <v>0</v>
      </c>
    </row>
    <row r="57" spans="1:7" ht="15.6" customHeight="1">
      <c r="A57" s="67">
        <f>'入力　発注書'!A56</f>
        <v>44</v>
      </c>
      <c r="B57" s="64" t="str">
        <f>'入力　発注書'!B56</f>
        <v>オレンジ３個</v>
      </c>
      <c r="C57" s="65">
        <f>'入力　発注書'!D56</f>
        <v>398</v>
      </c>
      <c r="D57" s="68">
        <f>'入力　発注書'!E56</f>
        <v>299</v>
      </c>
      <c r="E57" s="68">
        <f>'入力　発注書'!N56</f>
        <v>0</v>
      </c>
      <c r="F57" s="66">
        <f t="shared" si="0"/>
        <v>0</v>
      </c>
      <c r="G57" s="69">
        <f t="shared" si="1"/>
        <v>0</v>
      </c>
    </row>
    <row r="58" spans="1:7" ht="15.6" customHeight="1">
      <c r="A58" s="67">
        <f>'入力　発注書'!A57</f>
        <v>45</v>
      </c>
      <c r="B58" s="64" t="str">
        <f>'入力　発注書'!B57</f>
        <v>もも1個</v>
      </c>
      <c r="C58" s="65">
        <f>'入力　発注書'!D57</f>
        <v>200</v>
      </c>
      <c r="D58" s="68">
        <f>'入力　発注書'!E57</f>
        <v>150</v>
      </c>
      <c r="E58" s="68">
        <f>'入力　発注書'!N57</f>
        <v>0</v>
      </c>
      <c r="F58" s="66">
        <f t="shared" si="0"/>
        <v>0</v>
      </c>
      <c r="G58" s="69">
        <f t="shared" si="1"/>
        <v>0</v>
      </c>
    </row>
    <row r="59" spans="1:7" ht="15.6" customHeight="1">
      <c r="A59" s="67">
        <f>'入力　発注書'!A58</f>
        <v>46</v>
      </c>
      <c r="B59" s="64" t="str">
        <f>'入力　発注書'!B58</f>
        <v>デラウエア</v>
      </c>
      <c r="C59" s="65">
        <f>'入力　発注書'!D58</f>
        <v>398</v>
      </c>
      <c r="D59" s="68">
        <f>'入力　発注書'!E58</f>
        <v>299</v>
      </c>
      <c r="E59" s="68">
        <f>'入力　発注書'!N58</f>
        <v>0</v>
      </c>
      <c r="F59" s="66">
        <f t="shared" si="0"/>
        <v>0</v>
      </c>
      <c r="G59" s="69">
        <f t="shared" si="1"/>
        <v>0</v>
      </c>
    </row>
    <row r="60" spans="1:7">
      <c r="A60" s="67">
        <f>'入力　発注書'!A59</f>
        <v>47</v>
      </c>
      <c r="B60" s="64" t="str">
        <f>'入力　発注書'!B59</f>
        <v>たけのこ水煮</v>
      </c>
      <c r="C60" s="65">
        <f>'入力　発注書'!D59</f>
        <v>178</v>
      </c>
      <c r="D60" s="68">
        <f>'入力　発注書'!E59</f>
        <v>134</v>
      </c>
      <c r="E60" s="68">
        <f>'入力　発注書'!N59</f>
        <v>0</v>
      </c>
      <c r="F60" s="66">
        <f t="shared" si="0"/>
        <v>0</v>
      </c>
      <c r="G60" s="69">
        <f t="shared" si="1"/>
        <v>0</v>
      </c>
    </row>
    <row r="61" spans="1:7">
      <c r="A61" s="67">
        <f>'入力　発注書'!A60</f>
        <v>48</v>
      </c>
      <c r="B61" s="64" t="str">
        <f>'入力　発注書'!B60</f>
        <v>豚汁の具</v>
      </c>
      <c r="C61" s="65">
        <f>'入力　発注書'!D60</f>
        <v>178</v>
      </c>
      <c r="D61" s="68">
        <f>'入力　発注書'!E60</f>
        <v>134</v>
      </c>
      <c r="E61" s="68">
        <f>'入力　発注書'!N60</f>
        <v>0</v>
      </c>
      <c r="F61" s="66">
        <f t="shared" si="0"/>
        <v>0</v>
      </c>
      <c r="G61" s="69">
        <f t="shared" si="1"/>
        <v>0</v>
      </c>
    </row>
    <row r="62" spans="1:7">
      <c r="A62" s="67">
        <f>'入力　発注書'!A61</f>
        <v>49</v>
      </c>
      <c r="B62" s="64" t="str">
        <f>'入力　発注書'!B61</f>
        <v>メロン</v>
      </c>
      <c r="C62" s="65">
        <f>'入力　発注書'!D61</f>
        <v>580</v>
      </c>
      <c r="D62" s="68">
        <f>'入力　発注書'!E61</f>
        <v>435</v>
      </c>
      <c r="E62" s="68">
        <f>'入力　発注書'!N61</f>
        <v>0</v>
      </c>
      <c r="F62" s="66">
        <f t="shared" si="0"/>
        <v>0</v>
      </c>
      <c r="G62" s="69">
        <f t="shared" si="1"/>
        <v>0</v>
      </c>
    </row>
    <row r="63" spans="1:7">
      <c r="A63" s="67">
        <f>'入力　発注書'!A62</f>
        <v>50</v>
      </c>
      <c r="B63" s="64" t="str">
        <f>'入力　発注書'!B62</f>
        <v>ブドウ</v>
      </c>
      <c r="C63" s="65">
        <f>'入力　発注書'!D62</f>
        <v>498</v>
      </c>
      <c r="D63" s="68">
        <f>'入力　発注書'!E62</f>
        <v>374</v>
      </c>
      <c r="E63" s="68">
        <f>'入力　発注書'!N62</f>
        <v>0</v>
      </c>
      <c r="F63" s="66">
        <f t="shared" si="0"/>
        <v>0</v>
      </c>
      <c r="G63" s="69">
        <f t="shared" si="1"/>
        <v>0</v>
      </c>
    </row>
    <row r="64" spans="1:7">
      <c r="A64" s="67">
        <f>'入力　発注書'!A63</f>
        <v>51</v>
      </c>
      <c r="B64" s="64" t="str">
        <f>'入力　発注書'!B63</f>
        <v>イチゴ</v>
      </c>
      <c r="C64" s="65">
        <f>'入力　発注書'!D63</f>
        <v>498</v>
      </c>
      <c r="D64" s="68">
        <f>'入力　発注書'!E63</f>
        <v>374</v>
      </c>
      <c r="E64" s="68">
        <f>'入力　発注書'!N63</f>
        <v>0</v>
      </c>
      <c r="F64" s="66">
        <f t="shared" si="0"/>
        <v>0</v>
      </c>
      <c r="G64" s="69">
        <f t="shared" si="1"/>
        <v>0</v>
      </c>
    </row>
    <row r="65" spans="1:7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発注書'!N64</f>
        <v>0</v>
      </c>
      <c r="F65" s="66">
        <f t="shared" si="0"/>
        <v>0</v>
      </c>
      <c r="G65" s="69">
        <f t="shared" si="1"/>
        <v>0</v>
      </c>
    </row>
    <row r="66" spans="1:7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発注書'!N65</f>
        <v>0</v>
      </c>
      <c r="F66" s="66">
        <f t="shared" si="0"/>
        <v>0</v>
      </c>
      <c r="G66" s="69">
        <f t="shared" si="1"/>
        <v>0</v>
      </c>
    </row>
    <row r="67" spans="1:7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発注書'!N66</f>
        <v>0</v>
      </c>
      <c r="F67" s="66">
        <f t="shared" si="0"/>
        <v>0</v>
      </c>
      <c r="G67" s="69">
        <f t="shared" si="1"/>
        <v>0</v>
      </c>
    </row>
    <row r="68" spans="1:7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発注書'!N67</f>
        <v>0</v>
      </c>
      <c r="F68" s="66">
        <f t="shared" si="0"/>
        <v>0</v>
      </c>
      <c r="G68" s="69">
        <f t="shared" si="1"/>
        <v>0</v>
      </c>
    </row>
    <row r="69" spans="1:7">
      <c r="A69" s="67">
        <f>'入力　発注書'!A68</f>
        <v>56</v>
      </c>
      <c r="B69" s="64" t="str">
        <f>'入力　発注書'!B68</f>
        <v>新玉ねぎ</v>
      </c>
      <c r="C69" s="65">
        <f>'入力　発注書'!D68</f>
        <v>218</v>
      </c>
      <c r="D69" s="68">
        <f>'入力　発注書'!E68</f>
        <v>164</v>
      </c>
      <c r="E69" s="68">
        <f>'入力　発注書'!N68</f>
        <v>0</v>
      </c>
      <c r="F69" s="66">
        <f t="shared" si="0"/>
        <v>0</v>
      </c>
      <c r="G69" s="69">
        <f t="shared" si="1"/>
        <v>0</v>
      </c>
    </row>
    <row r="70" spans="1:7" ht="19.5" thickBot="1">
      <c r="A70" s="70">
        <f>'入力　発注書'!A69</f>
        <v>57</v>
      </c>
      <c r="B70" s="64" t="str">
        <f>'入力　発注書'!B69</f>
        <v>切り干し大根</v>
      </c>
      <c r="C70" s="65">
        <f>'入力　発注書'!D69</f>
        <v>238</v>
      </c>
      <c r="D70" s="68">
        <f>'入力　発注書'!E69</f>
        <v>179</v>
      </c>
      <c r="E70" s="68">
        <f>'入力　発注書'!N69</f>
        <v>0</v>
      </c>
      <c r="F70" s="66">
        <f t="shared" si="0"/>
        <v>0</v>
      </c>
      <c r="G70" s="69">
        <f t="shared" si="1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発注書'!N70</f>
        <v>0</v>
      </c>
      <c r="E71" s="73">
        <f>IF(D71&lt;&gt;0,1,0)</f>
        <v>0</v>
      </c>
      <c r="F71" s="73"/>
      <c r="G71" s="74">
        <f t="shared" si="1"/>
        <v>0</v>
      </c>
    </row>
    <row r="72" spans="1:7" s="38" customFormat="1" ht="16.5" customHeight="1" thickTop="1">
      <c r="A72" s="90"/>
      <c r="B72" s="92" t="s">
        <v>39</v>
      </c>
      <c r="C72" s="59"/>
      <c r="D72" s="94" t="s">
        <v>44</v>
      </c>
      <c r="E72" s="95"/>
      <c r="F72" s="40">
        <f>SUM(F14:F70)</f>
        <v>0</v>
      </c>
      <c r="G72" s="40">
        <f>SUM(G14:G70)</f>
        <v>0</v>
      </c>
    </row>
    <row r="73" spans="1:7" s="38" customFormat="1" ht="16.5" customHeight="1">
      <c r="A73" s="91"/>
      <c r="B73" s="93"/>
      <c r="C73" s="60"/>
      <c r="D73" s="96" t="s">
        <v>45</v>
      </c>
      <c r="E73" s="97"/>
      <c r="F73" s="37"/>
      <c r="G73" s="37">
        <f>G71</f>
        <v>0</v>
      </c>
    </row>
    <row r="74" spans="1:7" ht="14.25" customHeight="1">
      <c r="B74" s="39" t="s">
        <v>46</v>
      </c>
      <c r="C74" s="39"/>
    </row>
  </sheetData>
  <sheetProtection sheet="1" selectLockedCells="1" autoFilter="0" selectUnlockedCells="1"/>
  <autoFilter ref="A13:G73" xr:uid="{9F168BD2-722D-4F1F-95BC-CA982854E6A7}"/>
  <mergeCells count="17">
    <mergeCell ref="F12:G12"/>
    <mergeCell ref="F11:G11"/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</mergeCells>
  <phoneticPr fontId="3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634B-DEA6-4AD4-8BF4-20309E69C983}">
  <sheetPr>
    <tabColor rgb="FFFFFFCC"/>
  </sheetPr>
  <dimension ref="A1:L74"/>
  <sheetViews>
    <sheetView workbookViewId="0">
      <selection activeCell="G71" sqref="G7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23</v>
      </c>
    </row>
    <row r="2" spans="1:12" customFormat="1" ht="24" customHeight="1" thickBot="1">
      <c r="B2" s="76" t="s">
        <v>38</v>
      </c>
      <c r="C2" s="87">
        <f>'入力　発注書'!D8</f>
        <v>46231</v>
      </c>
      <c r="D2" s="87"/>
      <c r="E2" s="87"/>
      <c r="F2" s="1"/>
    </row>
    <row r="3" spans="1:12" ht="9.6" customHeight="1" thickTop="1"/>
    <row r="4" spans="1:12" ht="14.45" customHeight="1">
      <c r="D4" s="98" t="s">
        <v>24</v>
      </c>
      <c r="E4" s="98"/>
      <c r="F4" s="98"/>
      <c r="G4" s="98"/>
    </row>
    <row r="5" spans="1:12" ht="14.45" customHeight="1">
      <c r="D5" s="99" t="s">
        <v>25</v>
      </c>
      <c r="E5" s="99"/>
      <c r="F5" s="99"/>
      <c r="G5" s="99"/>
    </row>
    <row r="6" spans="1:12" ht="13.5" customHeight="1">
      <c r="E6" s="109" t="s">
        <v>27</v>
      </c>
      <c r="F6" s="109"/>
      <c r="G6" s="109"/>
    </row>
    <row r="7" spans="1:12" ht="13.5" customHeight="1">
      <c r="B7" s="2"/>
      <c r="C7" s="2"/>
      <c r="D7" s="8"/>
      <c r="E7" s="109" t="s">
        <v>28</v>
      </c>
      <c r="F7" s="109"/>
      <c r="G7" s="109"/>
      <c r="K7" s="4"/>
      <c r="L7" s="4"/>
    </row>
    <row r="8" spans="1:12" s="3" customFormat="1" ht="24.6" customHeight="1" thickBot="1">
      <c r="B8" s="77" t="s">
        <v>0</v>
      </c>
      <c r="C8" s="86" t="s">
        <v>35</v>
      </c>
      <c r="D8" s="86"/>
      <c r="E8" s="86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52</v>
      </c>
      <c r="C11" s="88">
        <f>G72+G73</f>
        <v>0</v>
      </c>
      <c r="D11" s="88"/>
      <c r="E11" s="89"/>
      <c r="F11" s="84" t="s">
        <v>53</v>
      </c>
      <c r="G11" s="85"/>
    </row>
    <row r="12" spans="1:12" ht="16.5" customHeight="1" thickTop="1">
      <c r="A12" s="100"/>
      <c r="B12" s="102" t="s">
        <v>36</v>
      </c>
      <c r="C12" s="104" t="s">
        <v>51</v>
      </c>
      <c r="D12" s="104"/>
      <c r="E12" s="105" t="s">
        <v>37</v>
      </c>
      <c r="F12" s="107" t="s">
        <v>50</v>
      </c>
      <c r="G12" s="107"/>
    </row>
    <row r="13" spans="1:12" ht="16.5" customHeight="1">
      <c r="A13" s="101"/>
      <c r="B13" s="103"/>
      <c r="C13" s="63" t="s">
        <v>48</v>
      </c>
      <c r="D13" s="62" t="s">
        <v>49</v>
      </c>
      <c r="E13" s="106"/>
      <c r="F13" s="63" t="s">
        <v>48</v>
      </c>
      <c r="G13" s="62" t="s">
        <v>49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218</v>
      </c>
      <c r="D14" s="65">
        <f>'入力　発注書'!E13</f>
        <v>164</v>
      </c>
      <c r="E14" s="65">
        <f>'入力　発注書'!O13</f>
        <v>0</v>
      </c>
      <c r="F14" s="66">
        <f>$E14*C14</f>
        <v>0</v>
      </c>
      <c r="G14" s="66">
        <f>$E14*D14</f>
        <v>0</v>
      </c>
    </row>
    <row r="15" spans="1:12" ht="13.15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5">
        <f>'入力　発注書'!O14</f>
        <v>0</v>
      </c>
      <c r="F15" s="66">
        <f t="shared" ref="F15:F70" si="0">$E15*C15</f>
        <v>0</v>
      </c>
      <c r="G15" s="69">
        <f t="shared" ref="G15:G71" si="1">E15*D15</f>
        <v>0</v>
      </c>
    </row>
    <row r="16" spans="1:12" ht="12.6" customHeight="1">
      <c r="A16" s="61">
        <f>'入力　発注書'!A15</f>
        <v>3</v>
      </c>
      <c r="B16" s="64" t="str">
        <f>'入力　発注書'!B15</f>
        <v>玉ねぎS</v>
      </c>
      <c r="C16" s="65">
        <f>'入力　発注書'!D15</f>
        <v>138</v>
      </c>
      <c r="D16" s="65">
        <f>'入力　発注書'!E15</f>
        <v>104</v>
      </c>
      <c r="E16" s="65">
        <f>'入力　発注書'!O15</f>
        <v>0</v>
      </c>
      <c r="F16" s="66">
        <f t="shared" si="0"/>
        <v>0</v>
      </c>
      <c r="G16" s="66">
        <f t="shared" si="1"/>
        <v>0</v>
      </c>
    </row>
    <row r="17" spans="1:7" ht="12.6" customHeight="1">
      <c r="A17" s="67">
        <f>'入力　発注書'!A16</f>
        <v>4</v>
      </c>
      <c r="B17" s="64" t="str">
        <f>'入力　発注書'!B16</f>
        <v>里芋</v>
      </c>
      <c r="C17" s="65">
        <f>'入力　発注書'!D16</f>
        <v>198</v>
      </c>
      <c r="D17" s="68">
        <f>'入力　発注書'!E16</f>
        <v>149</v>
      </c>
      <c r="E17" s="65">
        <f>'入力　発注書'!O16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</v>
      </c>
      <c r="C18" s="65">
        <f>'入力　発注書'!D17</f>
        <v>128</v>
      </c>
      <c r="D18" s="68">
        <f>'入力　発注書'!E17</f>
        <v>96</v>
      </c>
      <c r="E18" s="65">
        <f>'入力　発注書'!O17</f>
        <v>0</v>
      </c>
      <c r="F18" s="66">
        <f t="shared" si="0"/>
        <v>0</v>
      </c>
      <c r="G18" s="69">
        <f t="shared" si="1"/>
        <v>0</v>
      </c>
    </row>
    <row r="19" spans="1:7" ht="13.15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96</v>
      </c>
      <c r="E19" s="65">
        <f>'入力　発注書'!O18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138</v>
      </c>
      <c r="D20" s="68">
        <f>'入力　発注書'!E19</f>
        <v>104</v>
      </c>
      <c r="E20" s="65">
        <f>'入力　発注書'!O19</f>
        <v>0</v>
      </c>
      <c r="F20" s="66">
        <f t="shared" si="0"/>
        <v>0</v>
      </c>
      <c r="G20" s="69">
        <f t="shared" si="1"/>
        <v>0</v>
      </c>
    </row>
    <row r="21" spans="1:7" ht="13.15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288</v>
      </c>
      <c r="D21" s="65">
        <f>'入力　発注書'!E20</f>
        <v>216</v>
      </c>
      <c r="E21" s="65">
        <f>'入力　発注書'!O20</f>
        <v>0</v>
      </c>
      <c r="F21" s="66">
        <f t="shared" si="0"/>
        <v>0</v>
      </c>
      <c r="G21" s="66">
        <f t="shared" si="1"/>
        <v>0</v>
      </c>
    </row>
    <row r="22" spans="1:7" ht="13.15" customHeight="1">
      <c r="A22" s="67">
        <f>'入力　発注書'!A21</f>
        <v>9</v>
      </c>
      <c r="B22" s="64" t="str">
        <f>'入力　発注書'!B21</f>
        <v>フルーツトマト</v>
      </c>
      <c r="C22" s="65">
        <f>'入力　発注書'!D21</f>
        <v>238</v>
      </c>
      <c r="D22" s="68">
        <f>'入力　発注書'!E21</f>
        <v>179</v>
      </c>
      <c r="E22" s="65">
        <f>'入力　発注書'!O21</f>
        <v>0</v>
      </c>
      <c r="F22" s="66">
        <f t="shared" si="0"/>
        <v>0</v>
      </c>
      <c r="G22" s="69">
        <f t="shared" si="1"/>
        <v>0</v>
      </c>
    </row>
    <row r="23" spans="1:7" ht="13.15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298</v>
      </c>
      <c r="D23" s="68">
        <f>'入力　発注書'!E22</f>
        <v>224</v>
      </c>
      <c r="E23" s="65">
        <f>'入力　発注書'!O22</f>
        <v>0</v>
      </c>
      <c r="F23" s="66">
        <f t="shared" si="0"/>
        <v>0</v>
      </c>
      <c r="G23" s="69">
        <f t="shared" si="1"/>
        <v>0</v>
      </c>
    </row>
    <row r="24" spans="1:7" ht="13.15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198</v>
      </c>
      <c r="D24" s="68">
        <f>'入力　発注書'!E23</f>
        <v>149</v>
      </c>
      <c r="E24" s="68">
        <f>'入力　発注書'!O23</f>
        <v>0</v>
      </c>
      <c r="F24" s="66">
        <f t="shared" si="0"/>
        <v>0</v>
      </c>
      <c r="G24" s="69">
        <f t="shared" si="1"/>
        <v>0</v>
      </c>
    </row>
    <row r="25" spans="1:7" ht="13.15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198</v>
      </c>
      <c r="D25" s="65">
        <f>'入力　発注書'!E24</f>
        <v>149</v>
      </c>
      <c r="E25" s="65">
        <f>'入力　発注書'!O24</f>
        <v>0</v>
      </c>
      <c r="F25" s="66">
        <f t="shared" si="0"/>
        <v>0</v>
      </c>
      <c r="G25" s="66">
        <f t="shared" si="1"/>
        <v>0</v>
      </c>
    </row>
    <row r="26" spans="1:7" ht="13.15" customHeight="1">
      <c r="A26" s="67">
        <f>'入力　発注書'!A25</f>
        <v>13</v>
      </c>
      <c r="B26" s="64" t="str">
        <f>'入力　発注書'!B25</f>
        <v>キャベツ1個</v>
      </c>
      <c r="C26" s="65">
        <f>'入力　発注書'!D25</f>
        <v>248</v>
      </c>
      <c r="D26" s="68">
        <f>'入力　発注書'!E25</f>
        <v>186</v>
      </c>
      <c r="E26" s="65">
        <f>'入力　発注書'!O25</f>
        <v>0</v>
      </c>
      <c r="F26" s="66">
        <f t="shared" si="0"/>
        <v>0</v>
      </c>
      <c r="G26" s="69">
        <f t="shared" si="1"/>
        <v>0</v>
      </c>
    </row>
    <row r="27" spans="1:7" ht="13.15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98</v>
      </c>
      <c r="D27" s="65">
        <f>'入力　発注書'!E26</f>
        <v>74</v>
      </c>
      <c r="E27" s="65">
        <f>'入力　発注書'!O26</f>
        <v>0</v>
      </c>
      <c r="F27" s="66">
        <f t="shared" si="0"/>
        <v>0</v>
      </c>
      <c r="G27" s="66">
        <f t="shared" si="1"/>
        <v>0</v>
      </c>
    </row>
    <row r="28" spans="1:7" ht="13.15" customHeight="1">
      <c r="A28" s="67">
        <f>'入力　発注書'!A27</f>
        <v>15</v>
      </c>
      <c r="B28" s="64" t="str">
        <f>'入力　発注書'!B27</f>
        <v>白菜1/2個</v>
      </c>
      <c r="C28" s="65">
        <f>'入力　発注書'!D27</f>
        <v>248</v>
      </c>
      <c r="D28" s="68">
        <f>'入力　発注書'!E27</f>
        <v>186</v>
      </c>
      <c r="E28" s="65">
        <f>'入力　発注書'!O27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大根1本</v>
      </c>
      <c r="C29" s="65">
        <f>'入力　発注書'!D28</f>
        <v>128</v>
      </c>
      <c r="D29" s="68">
        <f>'入力　発注書'!E28</f>
        <v>96</v>
      </c>
      <c r="E29" s="65">
        <f>'入力　発注書'!O28</f>
        <v>0</v>
      </c>
      <c r="F29" s="66">
        <f t="shared" si="0"/>
        <v>0</v>
      </c>
      <c r="G29" s="69">
        <f t="shared" si="1"/>
        <v>0</v>
      </c>
    </row>
    <row r="30" spans="1:7" ht="13.15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158</v>
      </c>
      <c r="D30" s="65">
        <f>'入力　発注書'!E29</f>
        <v>119</v>
      </c>
      <c r="E30" s="65">
        <f>'入力　発注書'!O29</f>
        <v>0</v>
      </c>
      <c r="F30" s="66">
        <f t="shared" si="0"/>
        <v>0</v>
      </c>
      <c r="G30" s="66">
        <f t="shared" si="1"/>
        <v>0</v>
      </c>
    </row>
    <row r="31" spans="1:7" ht="13.15" customHeight="1">
      <c r="A31" s="67">
        <f>'入力　発注書'!A30</f>
        <v>18</v>
      </c>
      <c r="B31" s="64" t="str">
        <f>'入力　発注書'!B30</f>
        <v>レタス</v>
      </c>
      <c r="C31" s="65">
        <f>'入力　発注書'!D30</f>
        <v>198</v>
      </c>
      <c r="D31" s="68">
        <f>'入力　発注書'!E30</f>
        <v>149</v>
      </c>
      <c r="E31" s="65">
        <f>'入力　発注書'!O30</f>
        <v>0</v>
      </c>
      <c r="F31" s="66">
        <f t="shared" si="0"/>
        <v>0</v>
      </c>
      <c r="G31" s="69">
        <f t="shared" si="1"/>
        <v>0</v>
      </c>
    </row>
    <row r="32" spans="1:7" ht="13.15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98</v>
      </c>
      <c r="D32" s="68">
        <f>'入力　発注書'!E31</f>
        <v>74</v>
      </c>
      <c r="E32" s="65">
        <f>'入力　発注書'!O31</f>
        <v>0</v>
      </c>
      <c r="F32" s="66">
        <f t="shared" si="0"/>
        <v>0</v>
      </c>
      <c r="G32" s="69">
        <f t="shared" si="1"/>
        <v>0</v>
      </c>
    </row>
    <row r="33" spans="1:7" ht="13.15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5">
        <f>'入力　発注書'!O32</f>
        <v>0</v>
      </c>
      <c r="F33" s="66">
        <f t="shared" si="0"/>
        <v>0</v>
      </c>
      <c r="G33" s="69">
        <f t="shared" si="1"/>
        <v>0</v>
      </c>
    </row>
    <row r="34" spans="1:7" ht="13.15" customHeight="1">
      <c r="A34" s="67">
        <f>'入力　発注書'!A33</f>
        <v>21</v>
      </c>
      <c r="B34" s="64" t="str">
        <f>'入力　発注書'!B33</f>
        <v>茄子2本</v>
      </c>
      <c r="C34" s="65">
        <f>'入力　発注書'!D33</f>
        <v>178</v>
      </c>
      <c r="D34" s="68">
        <f>'入力　発注書'!E33</f>
        <v>134</v>
      </c>
      <c r="E34" s="65">
        <f>'入力　発注書'!O33</f>
        <v>0</v>
      </c>
      <c r="F34" s="66">
        <f t="shared" si="0"/>
        <v>0</v>
      </c>
      <c r="G34" s="69">
        <f t="shared" si="1"/>
        <v>0</v>
      </c>
    </row>
    <row r="35" spans="1:7" ht="13.15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238</v>
      </c>
      <c r="D35" s="68">
        <f>'入力　発注書'!E34</f>
        <v>179</v>
      </c>
      <c r="E35" s="65">
        <f>'入力　発注書'!O34</f>
        <v>0</v>
      </c>
      <c r="F35" s="66">
        <f t="shared" si="0"/>
        <v>0</v>
      </c>
      <c r="G35" s="69">
        <f t="shared" si="1"/>
        <v>0</v>
      </c>
    </row>
    <row r="36" spans="1:7" ht="13.15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248</v>
      </c>
      <c r="D36" s="68">
        <f>'入力　発注書'!E35</f>
        <v>186</v>
      </c>
      <c r="E36" s="65">
        <f>'入力　発注書'!O35</f>
        <v>0</v>
      </c>
      <c r="F36" s="66">
        <f t="shared" si="0"/>
        <v>0</v>
      </c>
      <c r="G36" s="69">
        <f t="shared" si="1"/>
        <v>0</v>
      </c>
    </row>
    <row r="37" spans="1:7" ht="13.15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198</v>
      </c>
      <c r="D37" s="68">
        <f>'入力　発注書'!E36</f>
        <v>149</v>
      </c>
      <c r="E37" s="65">
        <f>'入力　発注書'!O36</f>
        <v>0</v>
      </c>
      <c r="F37" s="66">
        <f t="shared" si="0"/>
        <v>0</v>
      </c>
      <c r="G37" s="69">
        <f t="shared" si="1"/>
        <v>0</v>
      </c>
    </row>
    <row r="38" spans="1:7" ht="13.15" customHeight="1">
      <c r="A38" s="67">
        <f>'入力　発注書'!A37</f>
        <v>25</v>
      </c>
      <c r="B38" s="64" t="str">
        <f>'入力　発注書'!B37</f>
        <v>ほうれん草</v>
      </c>
      <c r="C38" s="65">
        <f>'入力　発注書'!D37</f>
        <v>198</v>
      </c>
      <c r="D38" s="68">
        <f>'入力　発注書'!E37</f>
        <v>149</v>
      </c>
      <c r="E38" s="65">
        <f>'入力　発注書'!O37</f>
        <v>0</v>
      </c>
      <c r="F38" s="66">
        <f t="shared" si="0"/>
        <v>0</v>
      </c>
      <c r="G38" s="69">
        <f t="shared" si="1"/>
        <v>0</v>
      </c>
    </row>
    <row r="39" spans="1:7" ht="13.15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111</v>
      </c>
      <c r="E39" s="65">
        <f>'入力　発注書'!O38</f>
        <v>0</v>
      </c>
      <c r="F39" s="66">
        <f t="shared" si="0"/>
        <v>0</v>
      </c>
      <c r="G39" s="69">
        <f t="shared" si="1"/>
        <v>0</v>
      </c>
    </row>
    <row r="40" spans="1:7" ht="13.15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148</v>
      </c>
      <c r="D40" s="68">
        <f>'入力　発注書'!E39</f>
        <v>111</v>
      </c>
      <c r="E40" s="68">
        <f>'入力　発注書'!O39</f>
        <v>0</v>
      </c>
      <c r="F40" s="66">
        <f t="shared" si="0"/>
        <v>0</v>
      </c>
      <c r="G40" s="69">
        <f t="shared" si="1"/>
        <v>0</v>
      </c>
    </row>
    <row r="41" spans="1:7" ht="13.15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178</v>
      </c>
      <c r="D41" s="65">
        <f>'入力　発注書'!E40</f>
        <v>134</v>
      </c>
      <c r="E41" s="65">
        <f>'入力　発注書'!O40</f>
        <v>0</v>
      </c>
      <c r="F41" s="66">
        <f t="shared" si="0"/>
        <v>0</v>
      </c>
      <c r="G41" s="66">
        <f t="shared" si="1"/>
        <v>0</v>
      </c>
    </row>
    <row r="42" spans="1:7" ht="13.15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5">
        <f>'入力　発注書'!O41</f>
        <v>0</v>
      </c>
      <c r="F42" s="66">
        <f t="shared" si="0"/>
        <v>0</v>
      </c>
      <c r="G42" s="69">
        <f t="shared" si="1"/>
        <v>0</v>
      </c>
    </row>
    <row r="43" spans="1:7" ht="13.15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5">
        <f>'入力　発注書'!O42</f>
        <v>0</v>
      </c>
      <c r="F43" s="66">
        <f t="shared" si="0"/>
        <v>0</v>
      </c>
      <c r="G43" s="69">
        <f t="shared" si="1"/>
        <v>0</v>
      </c>
    </row>
    <row r="44" spans="1:7" ht="13.15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108</v>
      </c>
      <c r="D44" s="68">
        <f>'入力　発注書'!E43</f>
        <v>81</v>
      </c>
      <c r="E44" s="65">
        <f>'入力　発注書'!O43</f>
        <v>0</v>
      </c>
      <c r="F44" s="66">
        <f t="shared" si="0"/>
        <v>0</v>
      </c>
      <c r="G44" s="69">
        <f t="shared" si="1"/>
        <v>0</v>
      </c>
    </row>
    <row r="45" spans="1:7" ht="13.15" customHeight="1">
      <c r="A45" s="67">
        <f>'入力　発注書'!A44</f>
        <v>32</v>
      </c>
      <c r="B45" s="64" t="str">
        <f>'入力　発注書'!B44</f>
        <v>にら</v>
      </c>
      <c r="C45" s="65">
        <f>'入力　発注書'!D44</f>
        <v>98</v>
      </c>
      <c r="D45" s="68">
        <f>'入力　発注書'!E44</f>
        <v>74</v>
      </c>
      <c r="E45" s="65">
        <f>'入力　発注書'!O44</f>
        <v>0</v>
      </c>
      <c r="F45" s="66">
        <f t="shared" si="0"/>
        <v>0</v>
      </c>
      <c r="G45" s="69">
        <f t="shared" si="1"/>
        <v>0</v>
      </c>
    </row>
    <row r="46" spans="1:7" ht="13.15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5">
        <f>'入力　発注書'!O45</f>
        <v>0</v>
      </c>
      <c r="F46" s="66">
        <f t="shared" si="0"/>
        <v>0</v>
      </c>
      <c r="G46" s="69">
        <f t="shared" si="1"/>
        <v>0</v>
      </c>
    </row>
    <row r="47" spans="1:7" ht="13.15" customHeight="1">
      <c r="A47" s="61">
        <f>'入力　発注書'!A46</f>
        <v>34</v>
      </c>
      <c r="B47" s="64" t="str">
        <f>'入力　発注書'!B46</f>
        <v>中国ニンニク</v>
      </c>
      <c r="C47" s="65">
        <f>'入力　発注書'!D46</f>
        <v>168</v>
      </c>
      <c r="D47" s="65">
        <f>'入力　発注書'!E46</f>
        <v>126</v>
      </c>
      <c r="E47" s="65">
        <f>'入力　発注書'!O46</f>
        <v>0</v>
      </c>
      <c r="F47" s="66">
        <f t="shared" si="0"/>
        <v>0</v>
      </c>
      <c r="G47" s="66">
        <f t="shared" si="1"/>
        <v>0</v>
      </c>
    </row>
    <row r="48" spans="1:7" ht="13.15" customHeight="1">
      <c r="A48" s="67">
        <f>'入力　発注書'!A47</f>
        <v>35</v>
      </c>
      <c r="B48" s="64" t="str">
        <f>'入力　発注書'!B47</f>
        <v>みょうが</v>
      </c>
      <c r="C48" s="65">
        <f>'入力　発注書'!D47</f>
        <v>198</v>
      </c>
      <c r="D48" s="68">
        <f>'入力　発注書'!E47</f>
        <v>149</v>
      </c>
      <c r="E48" s="65">
        <f>'入力　発注書'!O47</f>
        <v>0</v>
      </c>
      <c r="F48" s="66">
        <f t="shared" si="0"/>
        <v>0</v>
      </c>
      <c r="G48" s="69">
        <f t="shared" si="1"/>
        <v>0</v>
      </c>
    </row>
    <row r="49" spans="1:7" ht="13.15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138</v>
      </c>
      <c r="D49" s="68">
        <f>'入力　発注書'!E48</f>
        <v>104</v>
      </c>
      <c r="E49" s="65">
        <f>'入力　発注書'!O48</f>
        <v>0</v>
      </c>
      <c r="F49" s="66">
        <f t="shared" si="0"/>
        <v>0</v>
      </c>
      <c r="G49" s="69">
        <f t="shared" si="1"/>
        <v>0</v>
      </c>
    </row>
    <row r="50" spans="1:7" ht="13.15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538</v>
      </c>
      <c r="D50" s="68">
        <f>'入力　発注書'!E49</f>
        <v>404</v>
      </c>
      <c r="E50" s="68">
        <f>'入力　発注書'!O49</f>
        <v>0</v>
      </c>
      <c r="F50" s="66">
        <f t="shared" si="0"/>
        <v>0</v>
      </c>
      <c r="G50" s="69">
        <f t="shared" si="1"/>
        <v>0</v>
      </c>
    </row>
    <row r="51" spans="1:7" ht="13.15" customHeight="1">
      <c r="A51" s="61">
        <f>'入力　発注書'!A50</f>
        <v>38</v>
      </c>
      <c r="B51" s="64" t="str">
        <f>'入力　発注書'!B50</f>
        <v>とうもろこし</v>
      </c>
      <c r="C51" s="65">
        <f>'入力　発注書'!D50</f>
        <v>128</v>
      </c>
      <c r="D51" s="65">
        <f>'入力　発注書'!E50</f>
        <v>96</v>
      </c>
      <c r="E51" s="65">
        <f>'入力　発注書'!O50</f>
        <v>0</v>
      </c>
      <c r="F51" s="66">
        <f t="shared" si="0"/>
        <v>0</v>
      </c>
      <c r="G51" s="66">
        <f t="shared" si="1"/>
        <v>0</v>
      </c>
    </row>
    <row r="52" spans="1:7" ht="13.15" customHeight="1">
      <c r="A52" s="67">
        <f>'入力　発注書'!A51</f>
        <v>39</v>
      </c>
      <c r="B52" s="64" t="str">
        <f>'入力　発注書'!B51</f>
        <v>キウイフルーツ</v>
      </c>
      <c r="C52" s="65">
        <f>'入力　発注書'!D51</f>
        <v>398</v>
      </c>
      <c r="D52" s="68">
        <f>'入力　発注書'!E51</f>
        <v>299</v>
      </c>
      <c r="E52" s="65">
        <f>'入力　発注書'!O51</f>
        <v>0</v>
      </c>
      <c r="F52" s="66">
        <f t="shared" si="0"/>
        <v>0</v>
      </c>
      <c r="G52" s="69">
        <f t="shared" si="1"/>
        <v>0</v>
      </c>
    </row>
    <row r="53" spans="1:7" ht="13.15" customHeight="1">
      <c r="A53" s="67">
        <f>'入力　発注書'!A52</f>
        <v>40</v>
      </c>
      <c r="B53" s="64" t="str">
        <f>'入力　発注書'!B52</f>
        <v>枝豆２００g</v>
      </c>
      <c r="C53" s="65">
        <f>'入力　発注書'!D52</f>
        <v>328</v>
      </c>
      <c r="D53" s="68">
        <f>'入力　発注書'!E52</f>
        <v>246</v>
      </c>
      <c r="E53" s="68">
        <f>'入力　発注書'!O52</f>
        <v>0</v>
      </c>
      <c r="F53" s="66">
        <f t="shared" si="0"/>
        <v>0</v>
      </c>
      <c r="G53" s="69">
        <f t="shared" si="1"/>
        <v>0</v>
      </c>
    </row>
    <row r="54" spans="1:7" ht="13.15" customHeight="1">
      <c r="A54" s="67">
        <f>'入力　発注書'!A53</f>
        <v>41</v>
      </c>
      <c r="B54" s="64" t="str">
        <f>'入力　発注書'!B53</f>
        <v>ブロッコリー</v>
      </c>
      <c r="C54" s="65">
        <f>'入力　発注書'!D53</f>
        <v>108</v>
      </c>
      <c r="D54" s="68">
        <f>'入力　発注書'!E53</f>
        <v>81</v>
      </c>
      <c r="E54" s="65">
        <f>'入力　発注書'!O53</f>
        <v>0</v>
      </c>
      <c r="F54" s="66">
        <f t="shared" si="0"/>
        <v>0</v>
      </c>
      <c r="G54" s="69">
        <f t="shared" si="1"/>
        <v>0</v>
      </c>
    </row>
    <row r="55" spans="1:7" ht="13.15" customHeight="1">
      <c r="A55" s="61">
        <f>'入力　発注書'!A54</f>
        <v>42</v>
      </c>
      <c r="B55" s="64" t="str">
        <f>'入力　発注書'!B54</f>
        <v>シャインマスカット</v>
      </c>
      <c r="C55" s="65">
        <f>'入力　発注書'!D54</f>
        <v>1280</v>
      </c>
      <c r="D55" s="65">
        <f>'入力　発注書'!E54</f>
        <v>960</v>
      </c>
      <c r="E55" s="65">
        <f>'入力　発注書'!O54</f>
        <v>0</v>
      </c>
      <c r="F55" s="66">
        <f t="shared" si="0"/>
        <v>0</v>
      </c>
      <c r="G55" s="66">
        <f t="shared" si="1"/>
        <v>0</v>
      </c>
    </row>
    <row r="56" spans="1:7" ht="15.6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418</v>
      </c>
      <c r="D56" s="68">
        <f>'入力　発注書'!E55</f>
        <v>314</v>
      </c>
      <c r="E56" s="65">
        <f>'入力　発注書'!O55</f>
        <v>0</v>
      </c>
      <c r="F56" s="66">
        <f t="shared" si="0"/>
        <v>0</v>
      </c>
      <c r="G56" s="69">
        <f t="shared" si="1"/>
        <v>0</v>
      </c>
    </row>
    <row r="57" spans="1:7" ht="15.6" customHeight="1">
      <c r="A57" s="67">
        <f>'入力　発注書'!A56</f>
        <v>44</v>
      </c>
      <c r="B57" s="64" t="str">
        <f>'入力　発注書'!B56</f>
        <v>オレンジ３個</v>
      </c>
      <c r="C57" s="65">
        <f>'入力　発注書'!D56</f>
        <v>398</v>
      </c>
      <c r="D57" s="68">
        <f>'入力　発注書'!E56</f>
        <v>299</v>
      </c>
      <c r="E57" s="65">
        <f>'入力　発注書'!O56</f>
        <v>0</v>
      </c>
      <c r="F57" s="66">
        <f t="shared" si="0"/>
        <v>0</v>
      </c>
      <c r="G57" s="69">
        <f t="shared" si="1"/>
        <v>0</v>
      </c>
    </row>
    <row r="58" spans="1:7" ht="15.6" customHeight="1">
      <c r="A58" s="67">
        <f>'入力　発注書'!A57</f>
        <v>45</v>
      </c>
      <c r="B58" s="64" t="str">
        <f>'入力　発注書'!B57</f>
        <v>もも1個</v>
      </c>
      <c r="C58" s="65">
        <f>'入力　発注書'!D57</f>
        <v>200</v>
      </c>
      <c r="D58" s="68">
        <f>'入力　発注書'!E57</f>
        <v>150</v>
      </c>
      <c r="E58" s="65">
        <f>'入力　発注書'!O57</f>
        <v>0</v>
      </c>
      <c r="F58" s="66">
        <f t="shared" si="0"/>
        <v>0</v>
      </c>
      <c r="G58" s="69">
        <f t="shared" si="1"/>
        <v>0</v>
      </c>
    </row>
    <row r="59" spans="1:7" ht="15.6" customHeight="1">
      <c r="A59" s="67">
        <f>'入力　発注書'!A58</f>
        <v>46</v>
      </c>
      <c r="B59" s="64" t="str">
        <f>'入力　発注書'!B58</f>
        <v>デラウエア</v>
      </c>
      <c r="C59" s="65">
        <f>'入力　発注書'!D58</f>
        <v>398</v>
      </c>
      <c r="D59" s="68">
        <f>'入力　発注書'!E58</f>
        <v>299</v>
      </c>
      <c r="E59" s="65">
        <f>'入力　発注書'!O58</f>
        <v>0</v>
      </c>
      <c r="F59" s="66">
        <f t="shared" si="0"/>
        <v>0</v>
      </c>
      <c r="G59" s="69">
        <f t="shared" si="1"/>
        <v>0</v>
      </c>
    </row>
    <row r="60" spans="1:7">
      <c r="A60" s="67">
        <f>'入力　発注書'!A59</f>
        <v>47</v>
      </c>
      <c r="B60" s="64" t="str">
        <f>'入力　発注書'!B59</f>
        <v>たけのこ水煮</v>
      </c>
      <c r="C60" s="65">
        <f>'入力　発注書'!D59</f>
        <v>178</v>
      </c>
      <c r="D60" s="68">
        <f>'入力　発注書'!E59</f>
        <v>134</v>
      </c>
      <c r="E60" s="65">
        <f>'入力　発注書'!O59</f>
        <v>0</v>
      </c>
      <c r="F60" s="66">
        <f t="shared" si="0"/>
        <v>0</v>
      </c>
      <c r="G60" s="69">
        <f t="shared" si="1"/>
        <v>0</v>
      </c>
    </row>
    <row r="61" spans="1:7">
      <c r="A61" s="67">
        <f>'入力　発注書'!A60</f>
        <v>48</v>
      </c>
      <c r="B61" s="64" t="str">
        <f>'入力　発注書'!B60</f>
        <v>豚汁の具</v>
      </c>
      <c r="C61" s="65">
        <f>'入力　発注書'!D60</f>
        <v>178</v>
      </c>
      <c r="D61" s="68">
        <f>'入力　発注書'!E60</f>
        <v>134</v>
      </c>
      <c r="E61" s="65">
        <f>'入力　発注書'!O60</f>
        <v>0</v>
      </c>
      <c r="F61" s="66">
        <f t="shared" si="0"/>
        <v>0</v>
      </c>
      <c r="G61" s="69">
        <f t="shared" si="1"/>
        <v>0</v>
      </c>
    </row>
    <row r="62" spans="1:7">
      <c r="A62" s="67">
        <f>'入力　発注書'!A61</f>
        <v>49</v>
      </c>
      <c r="B62" s="64" t="str">
        <f>'入力　発注書'!B61</f>
        <v>メロン</v>
      </c>
      <c r="C62" s="65">
        <f>'入力　発注書'!D61</f>
        <v>580</v>
      </c>
      <c r="D62" s="68">
        <f>'入力　発注書'!E61</f>
        <v>435</v>
      </c>
      <c r="E62" s="65">
        <f>'入力　発注書'!O61</f>
        <v>0</v>
      </c>
      <c r="F62" s="66">
        <f t="shared" si="0"/>
        <v>0</v>
      </c>
      <c r="G62" s="69">
        <f t="shared" si="1"/>
        <v>0</v>
      </c>
    </row>
    <row r="63" spans="1:7">
      <c r="A63" s="67">
        <f>'入力　発注書'!A62</f>
        <v>50</v>
      </c>
      <c r="B63" s="64" t="str">
        <f>'入力　発注書'!B62</f>
        <v>ブドウ</v>
      </c>
      <c r="C63" s="65">
        <f>'入力　発注書'!D62</f>
        <v>498</v>
      </c>
      <c r="D63" s="68">
        <f>'入力　発注書'!E62</f>
        <v>374</v>
      </c>
      <c r="E63" s="65">
        <f>'入力　発注書'!O62</f>
        <v>0</v>
      </c>
      <c r="F63" s="66">
        <f t="shared" si="0"/>
        <v>0</v>
      </c>
      <c r="G63" s="69">
        <f t="shared" si="1"/>
        <v>0</v>
      </c>
    </row>
    <row r="64" spans="1:7">
      <c r="A64" s="67">
        <f>'入力　発注書'!A63</f>
        <v>51</v>
      </c>
      <c r="B64" s="64" t="str">
        <f>'入力　発注書'!B63</f>
        <v>イチゴ</v>
      </c>
      <c r="C64" s="65">
        <f>'入力　発注書'!D63</f>
        <v>498</v>
      </c>
      <c r="D64" s="68">
        <f>'入力　発注書'!E63</f>
        <v>374</v>
      </c>
      <c r="E64" s="65">
        <f>'入力　発注書'!O63</f>
        <v>0</v>
      </c>
      <c r="F64" s="66">
        <f t="shared" si="0"/>
        <v>0</v>
      </c>
      <c r="G64" s="69">
        <f t="shared" si="1"/>
        <v>0</v>
      </c>
    </row>
    <row r="65" spans="1:7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5">
        <f>'入力　発注書'!O64</f>
        <v>0</v>
      </c>
      <c r="F65" s="66">
        <f t="shared" si="0"/>
        <v>0</v>
      </c>
      <c r="G65" s="69">
        <f t="shared" si="1"/>
        <v>0</v>
      </c>
    </row>
    <row r="66" spans="1:7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5">
        <f>'入力　発注書'!O65</f>
        <v>0</v>
      </c>
      <c r="F66" s="66">
        <f t="shared" si="0"/>
        <v>0</v>
      </c>
      <c r="G66" s="69">
        <f t="shared" si="1"/>
        <v>0</v>
      </c>
    </row>
    <row r="67" spans="1:7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5">
        <f>'入力　発注書'!O66</f>
        <v>0</v>
      </c>
      <c r="F67" s="66">
        <f t="shared" si="0"/>
        <v>0</v>
      </c>
      <c r="G67" s="69">
        <f t="shared" si="1"/>
        <v>0</v>
      </c>
    </row>
    <row r="68" spans="1:7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5">
        <f>'入力　発注書'!O67</f>
        <v>0</v>
      </c>
      <c r="F68" s="66">
        <f t="shared" si="0"/>
        <v>0</v>
      </c>
      <c r="G68" s="69">
        <f t="shared" si="1"/>
        <v>0</v>
      </c>
    </row>
    <row r="69" spans="1:7">
      <c r="A69" s="67">
        <f>'入力　発注書'!A68</f>
        <v>56</v>
      </c>
      <c r="B69" s="64" t="str">
        <f>'入力　発注書'!B68</f>
        <v>新玉ねぎ</v>
      </c>
      <c r="C69" s="65">
        <f>'入力　発注書'!D68</f>
        <v>218</v>
      </c>
      <c r="D69" s="68">
        <f>'入力　発注書'!E68</f>
        <v>164</v>
      </c>
      <c r="E69" s="65">
        <f>'入力　発注書'!O68</f>
        <v>0</v>
      </c>
      <c r="F69" s="66">
        <f t="shared" si="0"/>
        <v>0</v>
      </c>
      <c r="G69" s="69">
        <f t="shared" si="1"/>
        <v>0</v>
      </c>
    </row>
    <row r="70" spans="1:7" ht="19.5" thickBot="1">
      <c r="A70" s="70">
        <f>'入力　発注書'!A69</f>
        <v>57</v>
      </c>
      <c r="B70" s="64" t="str">
        <f>'入力　発注書'!B69</f>
        <v>切り干し大根</v>
      </c>
      <c r="C70" s="65">
        <f>'入力　発注書'!D69</f>
        <v>238</v>
      </c>
      <c r="D70" s="68">
        <f>'入力　発注書'!E69</f>
        <v>179</v>
      </c>
      <c r="E70" s="65">
        <f>'入力　発注書'!O69</f>
        <v>0</v>
      </c>
      <c r="F70" s="66">
        <f t="shared" si="0"/>
        <v>0</v>
      </c>
      <c r="G70" s="69">
        <f t="shared" si="1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発注書'!O70</f>
        <v>0</v>
      </c>
      <c r="E71" s="73">
        <f>IF(D71&lt;&gt;0,1,0)</f>
        <v>0</v>
      </c>
      <c r="F71" s="73"/>
      <c r="G71" s="74">
        <f t="shared" si="1"/>
        <v>0</v>
      </c>
    </row>
    <row r="72" spans="1:7" s="38" customFormat="1" ht="16.5" customHeight="1" thickTop="1">
      <c r="A72" s="90"/>
      <c r="B72" s="92" t="s">
        <v>39</v>
      </c>
      <c r="C72" s="59"/>
      <c r="D72" s="94" t="s">
        <v>44</v>
      </c>
      <c r="E72" s="95"/>
      <c r="F72" s="40">
        <f>SUM(F14:F70)</f>
        <v>0</v>
      </c>
      <c r="G72" s="40">
        <f>SUM(G14:G70)</f>
        <v>0</v>
      </c>
    </row>
    <row r="73" spans="1:7" s="38" customFormat="1" ht="16.5" customHeight="1">
      <c r="A73" s="91"/>
      <c r="B73" s="93"/>
      <c r="C73" s="60"/>
      <c r="D73" s="96" t="s">
        <v>45</v>
      </c>
      <c r="E73" s="97"/>
      <c r="F73" s="37"/>
      <c r="G73" s="37">
        <f>G71</f>
        <v>0</v>
      </c>
    </row>
    <row r="74" spans="1:7" ht="14.25" customHeight="1">
      <c r="B74" s="39" t="s">
        <v>46</v>
      </c>
      <c r="C74" s="39"/>
    </row>
  </sheetData>
  <sheetProtection sheet="1" selectLockedCells="1" autoFilter="0" selectUnlockedCells="1"/>
  <autoFilter ref="A13:G74" xr:uid="{9F168BD2-722D-4F1F-95BC-CA982854E6A7}"/>
  <mergeCells count="17">
    <mergeCell ref="C2:E2"/>
    <mergeCell ref="C11:E11"/>
    <mergeCell ref="B72:B73"/>
    <mergeCell ref="A72:A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  <mergeCell ref="C8:E8"/>
  </mergeCells>
  <phoneticPr fontId="3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入力　発注書</vt:lpstr>
      <vt:lpstr>大町２丁目</vt:lpstr>
      <vt:lpstr>八乙女中央</vt:lpstr>
      <vt:lpstr>川平1丁目</vt:lpstr>
      <vt:lpstr>堤町</vt:lpstr>
      <vt:lpstr>広瀬立町</vt:lpstr>
      <vt:lpstr>A</vt:lpstr>
      <vt:lpstr>B</vt:lpstr>
      <vt:lpstr>広瀬立町!Print_Area</vt:lpstr>
      <vt:lpstr>川平1丁目!Print_Area</vt:lpstr>
      <vt:lpstr>大町２丁目!Print_Area</vt:lpstr>
      <vt:lpstr>堤町!Print_Area</vt:lpstr>
      <vt:lpstr>'入力　発注書'!Print_Area</vt:lpstr>
      <vt:lpstr>八乙女中央!Print_Area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yaoyanomaruka</dc:creator>
  <cp:lastModifiedBy>芳郎 我妻</cp:lastModifiedBy>
  <cp:lastPrinted>2026-08-01T01:28:56Z</cp:lastPrinted>
  <dcterms:created xsi:type="dcterms:W3CDTF">2015-06-05T18:19:34Z</dcterms:created>
  <dcterms:modified xsi:type="dcterms:W3CDTF">2026-08-01T01:29:05Z</dcterms:modified>
</cp:coreProperties>
</file>