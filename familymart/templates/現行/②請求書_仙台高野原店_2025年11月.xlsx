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ファミリーマート関連\納品書,納品一覧(高野原）\納品書\請求書\請求書\2026年ファミマ高野原様\"/>
    </mc:Choice>
  </mc:AlternateContent>
  <xr:revisionPtr revIDLastSave="0" documentId="13_ncr:1_{B0E617C8-ECDE-4195-AC84-25F0379CDCB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5年11月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5" i="2" l="1"/>
  <c r="H37" i="2" s="1"/>
  <c r="E37" i="2" s="1"/>
  <c r="B8" i="2" l="1"/>
  <c r="Q36" i="2"/>
  <c r="F44" i="1"/>
  <c r="P43" i="1"/>
  <c r="N41" i="1"/>
  <c r="N40" i="1"/>
  <c r="N39" i="1"/>
  <c r="N38" i="1"/>
  <c r="N37" i="1"/>
  <c r="N36" i="1"/>
  <c r="N35" i="1"/>
  <c r="N34" i="1"/>
  <c r="N31" i="1"/>
  <c r="N30" i="1"/>
  <c r="N24" i="1"/>
  <c r="N23" i="1"/>
  <c r="N22" i="1"/>
  <c r="N21" i="1"/>
  <c r="D44" i="1" l="1"/>
  <c r="P42" i="1" s="1"/>
  <c r="B12" i="1"/>
</calcChain>
</file>

<file path=xl/sharedStrings.xml><?xml version="1.0" encoding="utf-8"?>
<sst xmlns="http://schemas.openxmlformats.org/spreadsheetml/2006/main" count="106" uniqueCount="66">
  <si>
    <t>請求書</t>
    <rPh sb="0" eb="3">
      <t>セイキュウ</t>
    </rPh>
    <phoneticPr fontId="5"/>
  </si>
  <si>
    <t>発行日</t>
    <rPh sb="0" eb="3">
      <t>ハッコウビ</t>
    </rPh>
    <phoneticPr fontId="5"/>
  </si>
  <si>
    <t>登録番号</t>
    <phoneticPr fontId="5"/>
  </si>
  <si>
    <t>ファミリーマート　仙台高野原店</t>
    <rPh sb="9" eb="11">
      <t>センダイ</t>
    </rPh>
    <rPh sb="11" eb="13">
      <t>タカノ</t>
    </rPh>
    <rPh sb="13" eb="14">
      <t>ハラ</t>
    </rPh>
    <rPh sb="14" eb="15">
      <t>テン</t>
    </rPh>
    <phoneticPr fontId="5"/>
  </si>
  <si>
    <t>御中</t>
    <rPh sb="0" eb="2">
      <t>オンチュウ</t>
    </rPh>
    <phoneticPr fontId="5"/>
  </si>
  <si>
    <t>発行番号</t>
    <rPh sb="0" eb="2">
      <t>ハッコウ</t>
    </rPh>
    <rPh sb="2" eb="4">
      <t>バンゴウ</t>
    </rPh>
    <phoneticPr fontId="5"/>
  </si>
  <si>
    <t>株式会社　工藤祐作商店</t>
    <rPh sb="5" eb="7">
      <t>クドウ</t>
    </rPh>
    <rPh sb="7" eb="11">
      <t>ユウサクショウテン</t>
    </rPh>
    <phoneticPr fontId="5"/>
  </si>
  <si>
    <t>〒984-0015</t>
    <phoneticPr fontId="5"/>
  </si>
  <si>
    <t>下記の通り、ご請求申し上げます。</t>
    <rPh sb="0" eb="2">
      <t>カキ</t>
    </rPh>
    <rPh sb="9" eb="10">
      <t>モウセィ</t>
    </rPh>
    <phoneticPr fontId="5"/>
  </si>
  <si>
    <t>住所：</t>
    <rPh sb="0" eb="2">
      <t>ジュウショ</t>
    </rPh>
    <phoneticPr fontId="5"/>
  </si>
  <si>
    <t>宮城県仙台市若林区卸町四丁目3-1</t>
    <rPh sb="0" eb="3">
      <t>ミヤギケン</t>
    </rPh>
    <rPh sb="3" eb="6">
      <t>センダイシ</t>
    </rPh>
    <rPh sb="6" eb="9">
      <t>ワカバヤシク</t>
    </rPh>
    <rPh sb="9" eb="11">
      <t>オロシマチ</t>
    </rPh>
    <rPh sb="11" eb="14">
      <t>ヨンチョウメ</t>
    </rPh>
    <phoneticPr fontId="5"/>
  </si>
  <si>
    <t>ご請求金額（税込）</t>
    <rPh sb="6" eb="8">
      <t>ゼイ</t>
    </rPh>
    <phoneticPr fontId="5"/>
  </si>
  <si>
    <t>電話：</t>
    <rPh sb="0" eb="2">
      <t>デンワ</t>
    </rPh>
    <phoneticPr fontId="5"/>
  </si>
  <si>
    <t>022-232-8596</t>
    <phoneticPr fontId="5"/>
  </si>
  <si>
    <t>FAX：</t>
  </si>
  <si>
    <t>022-232-8341</t>
    <phoneticPr fontId="5"/>
  </si>
  <si>
    <t>振込先</t>
    <rPh sb="0" eb="3">
      <t>フリコミ</t>
    </rPh>
    <phoneticPr fontId="5"/>
  </si>
  <si>
    <t>七十七銀行　中央市場支店（当座）1000497　</t>
    <rPh sb="6" eb="8">
      <t>チュウオウ</t>
    </rPh>
    <rPh sb="8" eb="10">
      <t>イチバ</t>
    </rPh>
    <rPh sb="13" eb="15">
      <t>トウザ</t>
    </rPh>
    <phoneticPr fontId="5"/>
  </si>
  <si>
    <t>カ．クドウユウサクシヨウテン</t>
    <phoneticPr fontId="5"/>
  </si>
  <si>
    <t>振込期日</t>
    <rPh sb="0" eb="1">
      <t>フリコミキ</t>
    </rPh>
    <phoneticPr fontId="5"/>
  </si>
  <si>
    <t>振込手数料は御社のご負担にてお願いいたします。</t>
    <rPh sb="0" eb="1">
      <t>フリコミ</t>
    </rPh>
    <rPh sb="6" eb="8">
      <t>オンシャ</t>
    </rPh>
    <phoneticPr fontId="5"/>
  </si>
  <si>
    <t>販売日</t>
    <rPh sb="0" eb="2">
      <t>ハンバイ</t>
    </rPh>
    <rPh sb="2" eb="3">
      <t>ビ</t>
    </rPh>
    <phoneticPr fontId="5"/>
  </si>
  <si>
    <t>品名</t>
    <phoneticPr fontId="5"/>
  </si>
  <si>
    <t>軽減税率</t>
    <rPh sb="0" eb="4">
      <t>ケイゲn</t>
    </rPh>
    <phoneticPr fontId="5"/>
  </si>
  <si>
    <t>数量</t>
    <rPh sb="0" eb="2">
      <t>スウ</t>
    </rPh>
    <phoneticPr fontId="5"/>
  </si>
  <si>
    <t>単位</t>
    <rPh sb="0" eb="2">
      <t>タンイ</t>
    </rPh>
    <phoneticPr fontId="5"/>
  </si>
  <si>
    <t>税率</t>
    <rPh sb="0" eb="2">
      <t>ゼイリ</t>
    </rPh>
    <phoneticPr fontId="5"/>
  </si>
  <si>
    <t>金額（税込）</t>
    <rPh sb="0" eb="2">
      <t>キンガク</t>
    </rPh>
    <rPh sb="3" eb="5">
      <t>ゼイコミ</t>
    </rPh>
    <phoneticPr fontId="5"/>
  </si>
  <si>
    <t>売上</t>
    <rPh sb="0" eb="2">
      <t>ウリアゲ</t>
    </rPh>
    <phoneticPr fontId="5"/>
  </si>
  <si>
    <t>※</t>
  </si>
  <si>
    <t>※は軽減税率対象です。</t>
    <rPh sb="2" eb="6">
      <t>ケイゲンズ</t>
    </rPh>
    <rPh sb="6" eb="8">
      <t>タイショウ</t>
    </rPh>
    <phoneticPr fontId="5"/>
  </si>
  <si>
    <t>消費税</t>
    <rPh sb="0" eb="3">
      <t>ショウヒ</t>
    </rPh>
    <phoneticPr fontId="5"/>
  </si>
  <si>
    <t>税率区分</t>
    <rPh sb="0" eb="2">
      <t>ゼイリ</t>
    </rPh>
    <rPh sb="2" eb="4">
      <t>クブn</t>
    </rPh>
    <phoneticPr fontId="5"/>
  </si>
  <si>
    <t>うち消費税</t>
    <rPh sb="2" eb="5">
      <t>ショウヒゼイ</t>
    </rPh>
    <phoneticPr fontId="5"/>
  </si>
  <si>
    <t>合計</t>
    <rPh sb="0" eb="2">
      <t>ゴウケイ</t>
    </rPh>
    <phoneticPr fontId="5"/>
  </si>
  <si>
    <t>8%対象</t>
    <rPh sb="2" eb="4">
      <t>タイショ</t>
    </rPh>
    <phoneticPr fontId="5"/>
  </si>
  <si>
    <t>備考</t>
    <rPh sb="0" eb="2">
      <t>ビコウ</t>
    </rPh>
    <phoneticPr fontId="5"/>
  </si>
  <si>
    <t>請求書</t>
    <rPh sb="0" eb="3">
      <t>セイキュウショ</t>
    </rPh>
    <phoneticPr fontId="3"/>
  </si>
  <si>
    <t>発行日</t>
    <rPh sb="0" eb="3">
      <t>ハッコウヒ</t>
    </rPh>
    <phoneticPr fontId="3"/>
  </si>
  <si>
    <t>年</t>
    <rPh sb="0" eb="1">
      <t>ネン</t>
    </rPh>
    <phoneticPr fontId="3"/>
  </si>
  <si>
    <t>月</t>
    <rPh sb="0" eb="1">
      <t>ガツ</t>
    </rPh>
    <phoneticPr fontId="3"/>
  </si>
  <si>
    <t>日</t>
    <rPh sb="0" eb="1">
      <t>ニチ</t>
    </rPh>
    <phoneticPr fontId="3"/>
  </si>
  <si>
    <t>登録番号</t>
    <rPh sb="0" eb="4">
      <t>トウロクバンゴウ</t>
    </rPh>
    <phoneticPr fontId="3"/>
  </si>
  <si>
    <t>T2370001017442</t>
    <phoneticPr fontId="3"/>
  </si>
  <si>
    <t>御中</t>
    <rPh sb="0" eb="2">
      <t>オンチュウ</t>
    </rPh>
    <phoneticPr fontId="3"/>
  </si>
  <si>
    <t>株式会社　工藤祐作祐作商店</t>
    <rPh sb="0" eb="4">
      <t>カブシキガイシャ</t>
    </rPh>
    <rPh sb="5" eb="9">
      <t>クドウユウサク</t>
    </rPh>
    <rPh sb="9" eb="13">
      <t>ユウサクショウテン</t>
    </rPh>
    <phoneticPr fontId="3"/>
  </si>
  <si>
    <t>下記の通り、ご請求申し上げます。</t>
    <rPh sb="0" eb="2">
      <t>カキ</t>
    </rPh>
    <rPh sb="3" eb="4">
      <t>トオ</t>
    </rPh>
    <rPh sb="7" eb="9">
      <t>セイキュウ</t>
    </rPh>
    <rPh sb="9" eb="10">
      <t>モウ</t>
    </rPh>
    <rPh sb="11" eb="12">
      <t>ア</t>
    </rPh>
    <phoneticPr fontId="3"/>
  </si>
  <si>
    <t>〒984-0015</t>
    <phoneticPr fontId="3"/>
  </si>
  <si>
    <t>ご請求金額（税込）</t>
    <rPh sb="1" eb="5">
      <t>セイキュウキンガク</t>
    </rPh>
    <rPh sb="6" eb="8">
      <t>ゼイコミ</t>
    </rPh>
    <phoneticPr fontId="3"/>
  </si>
  <si>
    <t>宮城県仙台市若林区卸町４丁目3-1</t>
    <rPh sb="0" eb="3">
      <t>ミヤギケン</t>
    </rPh>
    <rPh sb="3" eb="6">
      <t>センダイシ</t>
    </rPh>
    <rPh sb="6" eb="9">
      <t>ワカバヤシク</t>
    </rPh>
    <rPh sb="9" eb="11">
      <t>オロシマチ</t>
    </rPh>
    <rPh sb="12" eb="14">
      <t>チョウメ</t>
    </rPh>
    <phoneticPr fontId="3"/>
  </si>
  <si>
    <t>TEL:022-232-8596</t>
    <phoneticPr fontId="3"/>
  </si>
  <si>
    <t>FAX:022-232-8341</t>
    <phoneticPr fontId="3"/>
  </si>
  <si>
    <t>販売日</t>
    <rPh sb="0" eb="3">
      <t>ハンバイヒ</t>
    </rPh>
    <phoneticPr fontId="3"/>
  </si>
  <si>
    <t>品名</t>
    <rPh sb="0" eb="2">
      <t>ヒンメイ</t>
    </rPh>
    <phoneticPr fontId="3"/>
  </si>
  <si>
    <t>税率</t>
    <rPh sb="0" eb="2">
      <t>ゼイリツ</t>
    </rPh>
    <phoneticPr fontId="3"/>
  </si>
  <si>
    <t>数量</t>
    <rPh sb="0" eb="2">
      <t>スウリョウ</t>
    </rPh>
    <phoneticPr fontId="3"/>
  </si>
  <si>
    <t>金額（税込）</t>
    <rPh sb="0" eb="2">
      <t>キンガク</t>
    </rPh>
    <rPh sb="3" eb="5">
      <t>ゼイコ</t>
    </rPh>
    <phoneticPr fontId="3"/>
  </si>
  <si>
    <t>売上</t>
    <rPh sb="0" eb="2">
      <t>ウリアゲ</t>
    </rPh>
    <phoneticPr fontId="3"/>
  </si>
  <si>
    <t>税込合計額</t>
    <rPh sb="0" eb="2">
      <t>ゼイコ</t>
    </rPh>
    <rPh sb="2" eb="4">
      <t>ゴウケイ</t>
    </rPh>
    <rPh sb="4" eb="5">
      <t>ガク</t>
    </rPh>
    <phoneticPr fontId="3"/>
  </si>
  <si>
    <t>税率区分</t>
    <rPh sb="0" eb="2">
      <t>ゼイリツ</t>
    </rPh>
    <rPh sb="2" eb="4">
      <t>クブン</t>
    </rPh>
    <phoneticPr fontId="3"/>
  </si>
  <si>
    <t>うち消費税</t>
    <rPh sb="2" eb="5">
      <t>ショウヒゼイ</t>
    </rPh>
    <phoneticPr fontId="3"/>
  </si>
  <si>
    <t>税込価格</t>
    <rPh sb="0" eb="4">
      <t>ゼイコミカカク</t>
    </rPh>
    <phoneticPr fontId="3"/>
  </si>
  <si>
    <t>内消費税</t>
    <rPh sb="0" eb="1">
      <t>ウチ</t>
    </rPh>
    <rPh sb="1" eb="4">
      <t>ショウヒゼイ</t>
    </rPh>
    <phoneticPr fontId="3"/>
  </si>
  <si>
    <t>８％対象</t>
    <rPh sb="2" eb="4">
      <t>タイショウ</t>
    </rPh>
    <phoneticPr fontId="3"/>
  </si>
  <si>
    <t>備考・ご連絡</t>
    <rPh sb="0" eb="2">
      <t>ビコウ</t>
    </rPh>
    <rPh sb="4" eb="6">
      <t>レンラク</t>
    </rPh>
    <phoneticPr fontId="3"/>
  </si>
  <si>
    <t>ファミリーマート仙台高野原店</t>
    <rPh sb="8" eb="10">
      <t>センダイ</t>
    </rPh>
    <rPh sb="10" eb="13">
      <t>タカノハラ</t>
    </rPh>
    <rPh sb="13" eb="14">
      <t>テン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</si>
</sst>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¥&quot;#,##0;[Red]&quot;¥&quot;\-#,##0"/>
    <numFmt numFmtId="176" formatCode="\T###0"/>
    <numFmt numFmtId="177" formatCode="0_);[Red]\(0\)"/>
    <numFmt numFmtId="178" formatCode="&quot;〒&quot;000\-0000"/>
    <numFmt numFmtId="179" formatCode="[$¥-411]#,##0;[Red][$¥-411]#,##0"/>
  </numFmts>
  <fonts count="23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14"/>
      <color theme="1"/>
      <name val="ＭＳ Ｐゴシック"/>
      <family val="2"/>
      <charset val="128"/>
    </font>
    <font>
      <sz val="6"/>
      <name val="Yu Gothic"/>
      <family val="3"/>
      <charset val="128"/>
      <scheme val="minor"/>
    </font>
    <font>
      <sz val="36"/>
      <color theme="0"/>
      <name val="ＭＳ Ｐゴシック"/>
      <family val="2"/>
      <charset val="128"/>
    </font>
    <font>
      <sz val="6"/>
      <name val="Yu Gothic"/>
      <family val="2"/>
      <charset val="128"/>
      <scheme val="minor"/>
    </font>
    <font>
      <sz val="16"/>
      <color theme="1"/>
      <name val="ＭＳ Ｐゴシック"/>
      <family val="2"/>
      <charset val="128"/>
    </font>
    <font>
      <sz val="26"/>
      <color theme="1"/>
      <name val="ＭＳ Ｐゴシック"/>
      <family val="2"/>
      <charset val="128"/>
    </font>
    <font>
      <sz val="22"/>
      <color theme="1"/>
      <name val="ＭＳ Ｐゴシック"/>
      <family val="2"/>
      <charset val="128"/>
    </font>
    <font>
      <sz val="18"/>
      <color theme="1"/>
      <name val="ＭＳ Ｐゴシック"/>
      <family val="2"/>
      <charset val="128"/>
    </font>
    <font>
      <sz val="16"/>
      <color theme="0"/>
      <name val="ＭＳ Ｐゴシック"/>
      <family val="3"/>
      <charset val="128"/>
    </font>
    <font>
      <sz val="32"/>
      <color theme="1"/>
      <name val="ＭＳ Ｐゴシック"/>
      <family val="2"/>
      <charset val="128"/>
    </font>
    <font>
      <sz val="14"/>
      <color theme="0"/>
      <name val="ＭＳ Ｐゴシック"/>
      <family val="3"/>
      <charset val="128"/>
    </font>
    <font>
      <sz val="16"/>
      <color theme="0"/>
      <name val="ＭＳ Ｐゴシック"/>
      <family val="2"/>
      <charset val="128"/>
    </font>
    <font>
      <u/>
      <sz val="11"/>
      <color theme="10"/>
      <name val="Yu Gothic"/>
      <family val="2"/>
      <scheme val="minor"/>
    </font>
    <font>
      <sz val="24"/>
      <color theme="1"/>
      <name val="Yu Gothic"/>
      <family val="2"/>
      <scheme val="minor"/>
    </font>
    <font>
      <sz val="8"/>
      <color theme="1"/>
      <name val="Yu Gothic"/>
      <family val="2"/>
      <scheme val="minor"/>
    </font>
    <font>
      <b/>
      <sz val="12"/>
      <color theme="1"/>
      <name val="Yu Gothic"/>
      <family val="3"/>
      <charset val="128"/>
      <scheme val="minor"/>
    </font>
    <font>
      <sz val="20"/>
      <color theme="1"/>
      <name val="Yu Gothic"/>
      <family val="2"/>
      <scheme val="minor"/>
    </font>
    <font>
      <sz val="10"/>
      <color theme="1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sz val="10"/>
      <color theme="1"/>
      <name val="Yu Gothic"/>
      <family val="2"/>
      <scheme val="minor"/>
    </font>
    <font>
      <sz val="9"/>
      <color theme="1"/>
      <name val="Yu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theme="1"/>
      </right>
      <top style="thin">
        <color indexed="64"/>
      </top>
      <bottom style="thin">
        <color indexed="64"/>
      </bottom>
      <diagonal/>
    </border>
    <border>
      <left style="dotted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</cellStyleXfs>
  <cellXfs count="164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0" fillId="3" borderId="14" xfId="0" applyFont="1" applyFill="1" applyBorder="1" applyAlignment="1" applyProtection="1">
      <alignment horizontal="center" vertical="center"/>
      <protection locked="0"/>
    </xf>
    <xf numFmtId="0" fontId="10" fillId="3" borderId="16" xfId="0" applyFont="1" applyFill="1" applyBorder="1" applyAlignment="1" applyProtection="1">
      <alignment horizontal="center" vertical="center"/>
      <protection locked="0"/>
    </xf>
    <xf numFmtId="0" fontId="12" fillId="3" borderId="18" xfId="0" applyFont="1" applyFill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9" fontId="6" fillId="0" borderId="16" xfId="2" applyFont="1" applyBorder="1" applyAlignment="1" applyProtection="1">
      <alignment horizontal="center" vertical="center"/>
    </xf>
    <xf numFmtId="0" fontId="6" fillId="0" borderId="21" xfId="0" applyFont="1" applyBorder="1" applyAlignment="1" applyProtection="1">
      <alignment horizontal="center" vertical="center"/>
      <protection locked="0"/>
    </xf>
    <xf numFmtId="6" fontId="6" fillId="0" borderId="0" xfId="0" applyNumberFormat="1" applyFont="1" applyAlignment="1" applyProtection="1">
      <alignment vertical="center"/>
      <protection locked="0"/>
    </xf>
    <xf numFmtId="6" fontId="13" fillId="3" borderId="15" xfId="0" applyNumberFormat="1" applyFont="1" applyFill="1" applyBorder="1" applyAlignment="1" applyProtection="1">
      <alignment vertical="center"/>
      <protection locked="0"/>
    </xf>
    <xf numFmtId="6" fontId="6" fillId="0" borderId="0" xfId="1" applyFont="1" applyBorder="1" applyAlignment="1" applyProtection="1">
      <alignment vertical="center"/>
      <protection locked="0"/>
    </xf>
    <xf numFmtId="0" fontId="13" fillId="3" borderId="2" xfId="0" applyFont="1" applyFill="1" applyBorder="1" applyAlignment="1" applyProtection="1">
      <alignment horizontal="left" vertical="center"/>
      <protection locked="0"/>
    </xf>
    <xf numFmtId="0" fontId="13" fillId="3" borderId="3" xfId="0" applyFont="1" applyFill="1" applyBorder="1" applyAlignment="1" applyProtection="1">
      <alignment horizontal="left" vertical="center"/>
      <protection locked="0"/>
    </xf>
    <xf numFmtId="0" fontId="13" fillId="3" borderId="4" xfId="0" applyFont="1" applyFill="1" applyBorder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center" vertical="top"/>
      <protection locked="0"/>
    </xf>
    <xf numFmtId="0" fontId="2" fillId="0" borderId="6" xfId="0" applyFont="1" applyBorder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vertical="top"/>
      <protection locked="0"/>
    </xf>
    <xf numFmtId="0" fontId="2" fillId="0" borderId="22" xfId="0" applyFont="1" applyBorder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2" fillId="0" borderId="23" xfId="0" applyFont="1" applyBorder="1" applyAlignment="1" applyProtection="1">
      <alignment horizontal="center" vertical="top"/>
      <protection locked="0"/>
    </xf>
    <xf numFmtId="0" fontId="2" fillId="0" borderId="8" xfId="0" applyFont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horizontal="center" vertical="top"/>
      <protection locked="0"/>
    </xf>
    <xf numFmtId="0" fontId="2" fillId="0" borderId="9" xfId="0" applyFont="1" applyBorder="1" applyAlignment="1" applyProtection="1">
      <alignment horizontal="center" vertical="top"/>
      <protection locked="0"/>
    </xf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7" fillId="0" borderId="0" xfId="0" applyFont="1"/>
    <xf numFmtId="0" fontId="14" fillId="0" borderId="0" xfId="4"/>
    <xf numFmtId="0" fontId="20" fillId="0" borderId="11" xfId="0" applyFont="1" applyBorder="1" applyAlignment="1" applyProtection="1">
      <alignment vertical="center"/>
      <protection locked="0"/>
    </xf>
    <xf numFmtId="0" fontId="20" fillId="0" borderId="6" xfId="0" applyFont="1" applyBorder="1" applyAlignment="1" applyProtection="1">
      <alignment vertical="center"/>
      <protection locked="0"/>
    </xf>
    <xf numFmtId="0" fontId="20" fillId="0" borderId="7" xfId="0" applyFont="1" applyBorder="1" applyAlignment="1" applyProtection="1">
      <alignment vertical="center"/>
      <protection locked="0"/>
    </xf>
    <xf numFmtId="0" fontId="21" fillId="0" borderId="11" xfId="0" applyFont="1" applyBorder="1"/>
    <xf numFmtId="0" fontId="21" fillId="0" borderId="6" xfId="0" applyFont="1" applyBorder="1"/>
    <xf numFmtId="0" fontId="21" fillId="0" borderId="7" xfId="0" applyFont="1" applyBorder="1"/>
    <xf numFmtId="0" fontId="21" fillId="0" borderId="0" xfId="0" applyFont="1"/>
    <xf numFmtId="0" fontId="20" fillId="0" borderId="24" xfId="0" applyFont="1" applyBorder="1" applyAlignment="1" applyProtection="1">
      <alignment vertical="center"/>
      <protection locked="0"/>
    </xf>
    <xf numFmtId="0" fontId="20" fillId="0" borderId="0" xfId="0" applyFont="1" applyAlignment="1" applyProtection="1">
      <alignment vertical="center"/>
      <protection locked="0"/>
    </xf>
    <xf numFmtId="0" fontId="21" fillId="0" borderId="24" xfId="0" applyFont="1" applyBorder="1"/>
    <xf numFmtId="31" fontId="20" fillId="0" borderId="4" xfId="0" applyNumberFormat="1" applyFont="1" applyBorder="1" applyAlignment="1" applyProtection="1">
      <alignment vertical="center"/>
      <protection locked="0"/>
    </xf>
    <xf numFmtId="31" fontId="20" fillId="0" borderId="0" xfId="0" applyNumberFormat="1" applyFont="1" applyAlignment="1" applyProtection="1">
      <alignment vertical="center"/>
      <protection locked="0"/>
    </xf>
    <xf numFmtId="0" fontId="22" fillId="0" borderId="0" xfId="0" applyFont="1"/>
    <xf numFmtId="0" fontId="0" fillId="4" borderId="16" xfId="0" applyFill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0" fontId="0" fillId="0" borderId="6" xfId="0" applyBorder="1"/>
    <xf numFmtId="0" fontId="0" fillId="0" borderId="0" xfId="0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9" xfId="0" applyBorder="1" applyAlignment="1">
      <alignment horizontal="left" vertical="top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15" xfId="0" applyNumberFormat="1" applyBorder="1" applyAlignment="1">
      <alignment horizontal="right" vertical="center"/>
    </xf>
    <xf numFmtId="1" fontId="0" fillId="0" borderId="3" xfId="0" applyNumberFormat="1" applyBorder="1" applyAlignment="1">
      <alignment horizontal="right" vertical="center"/>
    </xf>
    <xf numFmtId="1" fontId="0" fillId="0" borderId="4" xfId="0" applyNumberFormat="1" applyBorder="1" applyAlignment="1">
      <alignment horizontal="right" vertical="center"/>
    </xf>
    <xf numFmtId="38" fontId="0" fillId="0" borderId="15" xfId="0" applyNumberForma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38" fontId="0" fillId="0" borderId="27" xfId="0" applyNumberFormat="1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0" fillId="0" borderId="28" xfId="0" applyBorder="1" applyAlignment="1">
      <alignment horizontal="right" vertical="center"/>
    </xf>
    <xf numFmtId="0" fontId="0" fillId="4" borderId="1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9" xfId="0" applyFill="1" applyBorder="1" applyAlignment="1">
      <alignment horizontal="left" vertical="center"/>
    </xf>
    <xf numFmtId="0" fontId="0" fillId="4" borderId="30" xfId="0" applyFill="1" applyBorder="1" applyAlignment="1">
      <alignment horizontal="left" vertical="center"/>
    </xf>
    <xf numFmtId="38" fontId="0" fillId="0" borderId="30" xfId="3" applyFont="1" applyBorder="1" applyAlignment="1">
      <alignment horizontal="right" vertical="center"/>
    </xf>
    <xf numFmtId="38" fontId="0" fillId="0" borderId="31" xfId="3" applyFont="1" applyBorder="1" applyAlignment="1">
      <alignment horizontal="right" vertical="center"/>
    </xf>
    <xf numFmtId="14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8" fontId="0" fillId="0" borderId="16" xfId="3" applyFont="1" applyBorder="1" applyAlignment="1">
      <alignment horizontal="right" vertical="center"/>
    </xf>
    <xf numFmtId="38" fontId="0" fillId="0" borderId="25" xfId="3" applyFont="1" applyBorder="1" applyAlignment="1">
      <alignment horizontal="right" vertical="center"/>
    </xf>
    <xf numFmtId="0" fontId="19" fillId="4" borderId="5" xfId="0" applyFont="1" applyFill="1" applyBorder="1" applyAlignment="1" applyProtection="1">
      <alignment horizontal="center" vertical="center"/>
      <protection locked="0"/>
    </xf>
    <xf numFmtId="0" fontId="19" fillId="4" borderId="6" xfId="0" applyFont="1" applyFill="1" applyBorder="1" applyAlignment="1" applyProtection="1">
      <alignment horizontal="center" vertical="center"/>
      <protection locked="0"/>
    </xf>
    <xf numFmtId="0" fontId="19" fillId="4" borderId="7" xfId="0" applyFont="1" applyFill="1" applyBorder="1" applyAlignment="1" applyProtection="1">
      <alignment horizontal="center" vertical="center"/>
      <protection locked="0"/>
    </xf>
    <xf numFmtId="0" fontId="19" fillId="4" borderId="22" xfId="0" applyFont="1" applyFill="1" applyBorder="1" applyAlignment="1" applyProtection="1">
      <alignment horizontal="center" vertical="center"/>
      <protection locked="0"/>
    </xf>
    <xf numFmtId="0" fontId="19" fillId="4" borderId="0" xfId="0" applyFont="1" applyFill="1" applyAlignment="1" applyProtection="1">
      <alignment horizontal="center" vertical="center"/>
      <protection locked="0"/>
    </xf>
    <xf numFmtId="0" fontId="19" fillId="4" borderId="23" xfId="0" applyFont="1" applyFill="1" applyBorder="1" applyAlignment="1" applyProtection="1">
      <alignment horizontal="center" vertical="center"/>
      <protection locked="0"/>
    </xf>
    <xf numFmtId="0" fontId="19" fillId="4" borderId="8" xfId="0" applyFont="1" applyFill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 applyProtection="1">
      <alignment horizontal="center" vertical="center"/>
      <protection locked="0"/>
    </xf>
    <xf numFmtId="31" fontId="20" fillId="0" borderId="15" xfId="0" applyNumberFormat="1" applyFont="1" applyBorder="1" applyAlignment="1" applyProtection="1">
      <alignment horizontal="center" vertical="center"/>
      <protection locked="0"/>
    </xf>
    <xf numFmtId="31" fontId="20" fillId="0" borderId="3" xfId="0" applyNumberFormat="1" applyFont="1" applyBorder="1" applyAlignment="1" applyProtection="1">
      <alignment horizontal="center" vertical="center"/>
      <protection locked="0"/>
    </xf>
    <xf numFmtId="0" fontId="0" fillId="4" borderId="16" xfId="0" applyFill="1" applyBorder="1" applyAlignment="1">
      <alignment horizontal="center" vertical="center"/>
    </xf>
    <xf numFmtId="179" fontId="18" fillId="0" borderId="16" xfId="0" applyNumberFormat="1" applyFont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4" borderId="16" xfId="0" applyFill="1" applyBorder="1" applyAlignment="1">
      <alignment horizontal="center"/>
    </xf>
    <xf numFmtId="6" fontId="6" fillId="0" borderId="15" xfId="1" applyFont="1" applyBorder="1" applyAlignment="1" applyProtection="1">
      <alignment vertical="center"/>
    </xf>
    <xf numFmtId="6" fontId="6" fillId="0" borderId="4" xfId="1" applyFont="1" applyBorder="1" applyAlignment="1" applyProtection="1">
      <alignment vertical="center"/>
    </xf>
    <xf numFmtId="0" fontId="13" fillId="3" borderId="14" xfId="0" applyFont="1" applyFill="1" applyBorder="1" applyAlignment="1" applyProtection="1">
      <alignment horizontal="center" vertical="center"/>
      <protection locked="0"/>
    </xf>
    <xf numFmtId="0" fontId="13" fillId="3" borderId="16" xfId="0" applyFont="1" applyFill="1" applyBorder="1" applyAlignment="1" applyProtection="1">
      <alignment horizontal="center" vertical="center"/>
      <protection locked="0"/>
    </xf>
    <xf numFmtId="6" fontId="13" fillId="3" borderId="15" xfId="1" applyFont="1" applyFill="1" applyBorder="1" applyAlignment="1" applyProtection="1">
      <alignment horizontal="center" vertical="center"/>
      <protection locked="0"/>
    </xf>
    <xf numFmtId="6" fontId="13" fillId="3" borderId="4" xfId="1" applyFont="1" applyFill="1" applyBorder="1" applyAlignment="1" applyProtection="1">
      <alignment horizontal="center" vertical="center"/>
      <protection locked="0"/>
    </xf>
    <xf numFmtId="6" fontId="6" fillId="0" borderId="15" xfId="0" applyNumberFormat="1" applyFont="1" applyBorder="1" applyAlignment="1">
      <alignment vertical="center"/>
    </xf>
    <xf numFmtId="6" fontId="6" fillId="0" borderId="4" xfId="0" applyNumberFormat="1" applyFont="1" applyBorder="1" applyAlignment="1">
      <alignment vertical="center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6" fontId="6" fillId="0" borderId="16" xfId="0" applyNumberFormat="1" applyFont="1" applyBorder="1" applyAlignment="1">
      <alignment vertical="center"/>
    </xf>
    <xf numFmtId="14" fontId="6" fillId="0" borderId="14" xfId="0" applyNumberFormat="1" applyFont="1" applyBorder="1" applyAlignment="1" applyProtection="1">
      <alignment horizontal="center" vertical="center"/>
      <protection locked="0"/>
    </xf>
    <xf numFmtId="14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left" vertical="center" indent="1"/>
      <protection locked="0"/>
    </xf>
    <xf numFmtId="0" fontId="6" fillId="0" borderId="3" xfId="0" applyFont="1" applyBorder="1" applyAlignment="1" applyProtection="1">
      <alignment horizontal="left" vertical="center" indent="1"/>
      <protection locked="0"/>
    </xf>
    <xf numFmtId="0" fontId="6" fillId="0" borderId="20" xfId="0" applyFont="1" applyBorder="1" applyAlignment="1" applyProtection="1">
      <alignment horizontal="left" vertical="center" indent="1"/>
      <protection locked="0"/>
    </xf>
    <xf numFmtId="6" fontId="6" fillId="0" borderId="15" xfId="1" applyFont="1" applyBorder="1" applyAlignment="1" applyProtection="1">
      <alignment horizontal="right" vertical="center"/>
    </xf>
    <xf numFmtId="6" fontId="6" fillId="0" borderId="4" xfId="1" applyFont="1" applyBorder="1" applyAlignment="1" applyProtection="1">
      <alignment horizontal="right" vertical="center"/>
    </xf>
    <xf numFmtId="6" fontId="6" fillId="0" borderId="16" xfId="1" applyFont="1" applyBorder="1" applyAlignment="1" applyProtection="1">
      <alignment horizontal="right" vertical="center"/>
    </xf>
    <xf numFmtId="31" fontId="6" fillId="0" borderId="15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10" fillId="3" borderId="14" xfId="0" applyFont="1" applyFill="1" applyBorder="1" applyAlignment="1" applyProtection="1">
      <alignment horizontal="center" vertical="center"/>
      <protection locked="0"/>
    </xf>
    <xf numFmtId="0" fontId="10" fillId="3" borderId="16" xfId="0" applyFont="1" applyFill="1" applyBorder="1" applyAlignment="1" applyProtection="1">
      <alignment horizontal="center" vertical="center"/>
      <protection locked="0"/>
    </xf>
    <xf numFmtId="0" fontId="10" fillId="3" borderId="15" xfId="0" applyFont="1" applyFill="1" applyBorder="1" applyAlignment="1" applyProtection="1">
      <alignment horizontal="center" vertical="center"/>
      <protection locked="0"/>
    </xf>
    <xf numFmtId="0" fontId="10" fillId="3" borderId="3" xfId="0" applyFont="1" applyFill="1" applyBorder="1" applyAlignment="1" applyProtection="1">
      <alignment horizontal="center" vertical="center"/>
      <protection locked="0"/>
    </xf>
    <xf numFmtId="0" fontId="10" fillId="3" borderId="17" xfId="0" applyFont="1" applyFill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10" fillId="3" borderId="4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6" fontId="11" fillId="0" borderId="5" xfId="0" applyNumberFormat="1" applyFont="1" applyBorder="1" applyAlignment="1">
      <alignment horizontal="right" vertical="center"/>
    </xf>
    <xf numFmtId="6" fontId="11" fillId="0" borderId="6" xfId="0" applyNumberFormat="1" applyFont="1" applyBorder="1" applyAlignment="1">
      <alignment horizontal="right" vertical="center"/>
    </xf>
    <xf numFmtId="6" fontId="11" fillId="0" borderId="7" xfId="0" applyNumberFormat="1" applyFont="1" applyBorder="1" applyAlignment="1">
      <alignment horizontal="right" vertical="center"/>
    </xf>
    <xf numFmtId="6" fontId="11" fillId="0" borderId="8" xfId="0" applyNumberFormat="1" applyFont="1" applyBorder="1" applyAlignment="1">
      <alignment horizontal="right" vertical="center"/>
    </xf>
    <xf numFmtId="6" fontId="11" fillId="0" borderId="1" xfId="0" applyNumberFormat="1" applyFont="1" applyBorder="1" applyAlignment="1">
      <alignment horizontal="right" vertical="center"/>
    </xf>
    <xf numFmtId="6" fontId="11" fillId="0" borderId="9" xfId="0" applyNumberFormat="1" applyFont="1" applyBorder="1" applyAlignment="1">
      <alignment horizontal="right" vertic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0" fillId="3" borderId="12" xfId="0" applyFont="1" applyFill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78" fontId="6" fillId="0" borderId="0" xfId="0" applyNumberFormat="1" applyFont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left" vertical="center"/>
      <protection locked="0"/>
    </xf>
    <xf numFmtId="176" fontId="6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177" fontId="2" fillId="0" borderId="0" xfId="0" applyNumberFormat="1" applyFont="1" applyAlignment="1" applyProtection="1">
      <alignment horizontal="left" vertical="center"/>
      <protection locked="0"/>
    </xf>
  </cellXfs>
  <cellStyles count="5">
    <cellStyle name="パーセント" xfId="2" builtinId="5"/>
    <cellStyle name="ハイパーリンク" xfId="4" builtinId="8"/>
    <cellStyle name="桁区切り" xfId="3" builtinId="6"/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684189</xdr:colOff>
      <xdr:row>5</xdr:row>
      <xdr:rowOff>358399</xdr:rowOff>
    </xdr:from>
    <xdr:to>
      <xdr:col>14</xdr:col>
      <xdr:colOff>684189</xdr:colOff>
      <xdr:row>11</xdr:row>
      <xdr:rowOff>62397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469D470-7D08-44EB-9E23-FD9CAD841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9689" y="1806199"/>
          <a:ext cx="5443" cy="12565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tel:022-232-85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74"/>
  <sheetViews>
    <sheetView topLeftCell="A17" workbookViewId="0">
      <selection activeCell="B21" sqref="B21:P33"/>
    </sheetView>
  </sheetViews>
  <sheetFormatPr defaultColWidth="0" defaultRowHeight="17.25" customHeight="1" zeroHeight="1"/>
  <cols>
    <col min="1" max="1" width="2.25" style="2" customWidth="1"/>
    <col min="2" max="2" width="11.75" style="2" customWidth="1"/>
    <col min="3" max="3" width="6.75" style="2" customWidth="1"/>
    <col min="4" max="8" width="9" style="2" customWidth="1"/>
    <col min="9" max="10" width="8.375" style="2" customWidth="1"/>
    <col min="11" max="11" width="10.625" style="2" customWidth="1"/>
    <col min="12" max="13" width="9" style="2" customWidth="1"/>
    <col min="14" max="14" width="16.375" style="2" bestFit="1" customWidth="1"/>
    <col min="15" max="17" width="9" style="2" customWidth="1"/>
    <col min="18" max="19" width="9" style="2" hidden="1"/>
    <col min="20" max="20" width="2.125" style="2" customWidth="1"/>
    <col min="21" max="31" width="12" style="2" customWidth="1"/>
    <col min="32" max="32" width="0" style="2" hidden="1" customWidth="1"/>
    <col min="33" max="16384" width="12" style="2" hidden="1"/>
  </cols>
  <sheetData>
    <row r="1" spans="1:31" s="3" customFormat="1" hidden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s="3" customFormat="1" ht="53.1" customHeight="1">
      <c r="A2" s="1"/>
      <c r="B2" s="159" t="s">
        <v>0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"/>
      <c r="S2" s="1"/>
      <c r="T2" s="1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s="3" customFormat="1" hidden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s="3" customFormat="1" ht="30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" t="s">
        <v>1</v>
      </c>
      <c r="O4" s="160">
        <v>46013</v>
      </c>
      <c r="P4" s="160"/>
      <c r="Q4" s="160"/>
      <c r="R4" s="1"/>
      <c r="S4" s="1"/>
      <c r="T4" s="1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s="3" customFormat="1" ht="30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 t="s">
        <v>2</v>
      </c>
      <c r="O5" s="161">
        <v>8370001002926</v>
      </c>
      <c r="P5" s="161"/>
      <c r="Q5" s="161"/>
      <c r="R5" s="1"/>
      <c r="S5" s="1"/>
      <c r="T5" s="1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s="3" customFormat="1" ht="30.95" customHeight="1">
      <c r="A6" s="1"/>
      <c r="B6" s="162" t="s">
        <v>3</v>
      </c>
      <c r="C6" s="162"/>
      <c r="D6" s="162"/>
      <c r="E6" s="162"/>
      <c r="F6" s="162"/>
      <c r="G6" s="162"/>
      <c r="H6" s="162"/>
      <c r="I6" s="162"/>
      <c r="J6" s="5" t="s">
        <v>4</v>
      </c>
      <c r="M6" s="1"/>
      <c r="N6" s="4" t="s">
        <v>5</v>
      </c>
      <c r="O6" s="163"/>
      <c r="P6" s="163"/>
      <c r="Q6" s="163"/>
      <c r="R6" s="1"/>
      <c r="S6" s="1"/>
      <c r="T6" s="1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s="3" customFormat="1" ht="26.1" customHeight="1">
      <c r="A7" s="1"/>
      <c r="B7" s="156"/>
      <c r="C7" s="156"/>
      <c r="D7" s="156"/>
      <c r="E7" s="156"/>
      <c r="F7" s="156"/>
      <c r="G7" s="156"/>
      <c r="H7" s="156"/>
      <c r="I7" s="156"/>
      <c r="J7" s="156"/>
      <c r="K7" s="1"/>
      <c r="L7" s="1"/>
      <c r="M7" s="1"/>
      <c r="N7" s="6"/>
      <c r="O7" s="7"/>
      <c r="P7" s="7"/>
      <c r="Q7" s="7"/>
      <c r="R7" s="1"/>
      <c r="S7" s="1"/>
      <c r="T7" s="1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s="3" customFormat="1" ht="33.950000000000003" customHeight="1">
      <c r="A8" s="1"/>
      <c r="B8" s="153"/>
      <c r="C8" s="153"/>
      <c r="D8" s="153"/>
      <c r="E8" s="153"/>
      <c r="F8" s="153"/>
      <c r="G8" s="153"/>
      <c r="H8" s="153"/>
      <c r="I8" s="153"/>
      <c r="J8" s="153"/>
      <c r="K8" s="1"/>
      <c r="L8" s="1"/>
      <c r="M8" s="154" t="s">
        <v>6</v>
      </c>
      <c r="N8" s="154"/>
      <c r="O8" s="154"/>
      <c r="P8" s="154"/>
      <c r="Q8" s="154"/>
      <c r="R8" s="1"/>
      <c r="S8" s="1"/>
      <c r="T8" s="1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s="3" customFormat="1" ht="30" customHeight="1">
      <c r="A9" s="1"/>
      <c r="B9" s="155"/>
      <c r="C9" s="155"/>
      <c r="D9" s="155"/>
      <c r="E9" s="155"/>
      <c r="F9" s="155"/>
      <c r="G9" s="155"/>
      <c r="H9" s="155"/>
      <c r="I9" s="155"/>
      <c r="J9" s="155"/>
      <c r="K9" s="1"/>
      <c r="L9" s="1"/>
      <c r="M9" s="156" t="s">
        <v>7</v>
      </c>
      <c r="N9" s="156"/>
      <c r="O9" s="156"/>
      <c r="P9" s="156"/>
      <c r="Q9" s="156"/>
      <c r="R9" s="1"/>
      <c r="S9" s="1"/>
      <c r="T9" s="1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s="3" customFormat="1" ht="38.1" customHeight="1">
      <c r="A10" s="1"/>
      <c r="B10" s="157" t="s">
        <v>8</v>
      </c>
      <c r="C10" s="157"/>
      <c r="D10" s="157"/>
      <c r="E10" s="157"/>
      <c r="F10" s="157"/>
      <c r="G10" s="157"/>
      <c r="H10" s="157"/>
      <c r="I10" s="157"/>
      <c r="J10" s="157"/>
      <c r="K10" s="9"/>
      <c r="L10" s="9"/>
      <c r="M10" s="8" t="s">
        <v>9</v>
      </c>
      <c r="N10" s="158" t="s">
        <v>10</v>
      </c>
      <c r="O10" s="138"/>
      <c r="P10" s="138"/>
      <c r="Q10" s="138"/>
      <c r="R10" s="1"/>
      <c r="S10" s="1"/>
      <c r="T10" s="1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s="3" customFormat="1" ht="30" customHeight="1">
      <c r="A11" s="1"/>
      <c r="B11" s="136" t="s">
        <v>11</v>
      </c>
      <c r="C11" s="134"/>
      <c r="D11" s="134"/>
      <c r="E11" s="134"/>
      <c r="F11" s="134"/>
      <c r="G11" s="134"/>
      <c r="H11" s="134"/>
      <c r="I11" s="134"/>
      <c r="J11" s="137"/>
      <c r="K11" s="1"/>
      <c r="L11" s="1"/>
      <c r="M11" s="8" t="s">
        <v>12</v>
      </c>
      <c r="N11" s="138" t="s">
        <v>13</v>
      </c>
      <c r="O11" s="138"/>
      <c r="P11" s="138"/>
      <c r="Q11" s="138"/>
      <c r="R11" s="1"/>
      <c r="S11" s="1"/>
      <c r="T11" s="1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s="3" customFormat="1" ht="30" customHeight="1">
      <c r="A12" s="1"/>
      <c r="B12" s="139">
        <f>P43</f>
        <v>49655</v>
      </c>
      <c r="C12" s="140"/>
      <c r="D12" s="140"/>
      <c r="E12" s="140"/>
      <c r="F12" s="140"/>
      <c r="G12" s="140"/>
      <c r="H12" s="140"/>
      <c r="I12" s="140"/>
      <c r="J12" s="141"/>
      <c r="K12" s="1"/>
      <c r="L12" s="1"/>
      <c r="M12" s="8" t="s">
        <v>14</v>
      </c>
      <c r="N12" s="138" t="s">
        <v>15</v>
      </c>
      <c r="O12" s="138"/>
      <c r="P12" s="138"/>
      <c r="Q12" s="138"/>
      <c r="R12" s="1"/>
      <c r="S12" s="1"/>
      <c r="T12" s="1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s="3" customFormat="1" ht="32.1" customHeight="1">
      <c r="A13" s="1"/>
      <c r="B13" s="142"/>
      <c r="C13" s="143"/>
      <c r="D13" s="143"/>
      <c r="E13" s="143"/>
      <c r="F13" s="143"/>
      <c r="G13" s="143"/>
      <c r="H13" s="143"/>
      <c r="I13" s="143"/>
      <c r="J13" s="144"/>
      <c r="K13" s="1"/>
      <c r="L13" s="1"/>
      <c r="M13" s="1"/>
      <c r="N13" s="1"/>
      <c r="O13" s="1"/>
      <c r="P13" s="1"/>
      <c r="Q13" s="1"/>
      <c r="R13" s="1"/>
      <c r="S13" s="1"/>
      <c r="T13" s="1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s="3" customFormat="1" ht="3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s="3" customFormat="1" ht="24" customHeight="1">
      <c r="A15" s="1"/>
      <c r="B15" s="145" t="s">
        <v>16</v>
      </c>
      <c r="C15" s="147" t="s">
        <v>17</v>
      </c>
      <c r="D15" s="148"/>
      <c r="E15" s="148"/>
      <c r="F15" s="148"/>
      <c r="G15" s="148"/>
      <c r="H15" s="14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s="3" customFormat="1" ht="24" customHeight="1">
      <c r="A16" s="1"/>
      <c r="B16" s="146"/>
      <c r="C16" s="150" t="s">
        <v>18</v>
      </c>
      <c r="D16" s="151"/>
      <c r="E16" s="151"/>
      <c r="F16" s="151"/>
      <c r="G16" s="151"/>
      <c r="H16" s="15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s="3" customFormat="1" ht="24" customHeight="1">
      <c r="A17" s="1"/>
      <c r="B17" s="11" t="s">
        <v>19</v>
      </c>
      <c r="C17" s="128">
        <v>45688</v>
      </c>
      <c r="D17" s="129"/>
      <c r="E17" s="129"/>
      <c r="F17" s="129"/>
      <c r="G17" s="129"/>
      <c r="H17" s="13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s="3" customFormat="1" ht="24" customHeight="1">
      <c r="A18" s="1"/>
      <c r="B18" s="10" t="s">
        <v>20</v>
      </c>
      <c r="C18" s="10"/>
      <c r="D18" s="10"/>
      <c r="E18" s="10"/>
      <c r="F18" s="10"/>
      <c r="G18" s="10"/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s="3" customFormat="1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s="3" customFormat="1" ht="24" customHeight="1">
      <c r="A20" s="1"/>
      <c r="B20" s="131" t="s">
        <v>21</v>
      </c>
      <c r="C20" s="132"/>
      <c r="D20" s="133" t="s">
        <v>22</v>
      </c>
      <c r="E20" s="134"/>
      <c r="F20" s="134"/>
      <c r="G20" s="134"/>
      <c r="H20" s="134"/>
      <c r="I20" s="134"/>
      <c r="J20" s="135"/>
      <c r="K20" s="13" t="s">
        <v>23</v>
      </c>
      <c r="L20" s="12" t="s">
        <v>24</v>
      </c>
      <c r="M20" s="12" t="s">
        <v>25</v>
      </c>
      <c r="N20" s="12" t="s">
        <v>26</v>
      </c>
      <c r="O20" s="132" t="s">
        <v>27</v>
      </c>
      <c r="P20" s="132"/>
      <c r="Q20" s="1"/>
      <c r="R20" s="1"/>
      <c r="S20" s="1"/>
      <c r="T20" s="1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1" s="3" customFormat="1" ht="24" customHeight="1">
      <c r="A21" s="1"/>
      <c r="B21" s="120">
        <v>45983</v>
      </c>
      <c r="C21" s="121"/>
      <c r="D21" s="122" t="s">
        <v>28</v>
      </c>
      <c r="E21" s="123"/>
      <c r="F21" s="123"/>
      <c r="G21" s="123"/>
      <c r="H21" s="123"/>
      <c r="I21" s="123"/>
      <c r="J21" s="123"/>
      <c r="K21" s="14" t="s">
        <v>29</v>
      </c>
      <c r="L21" s="15">
        <v>1</v>
      </c>
      <c r="M21" s="16"/>
      <c r="N21" s="17" t="str">
        <f>IF(ISBLANK(B21),"",IF(K21="","10%","8%"))</f>
        <v>8%</v>
      </c>
      <c r="O21" s="125">
        <v>4895</v>
      </c>
      <c r="P21" s="126"/>
      <c r="Q21" s="1"/>
      <c r="R21" s="1"/>
      <c r="S21" s="1"/>
      <c r="T21" s="1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1" s="3" customFormat="1" ht="24" customHeight="1">
      <c r="A22" s="1"/>
      <c r="B22" s="120">
        <v>45986</v>
      </c>
      <c r="C22" s="121"/>
      <c r="D22" s="122" t="s">
        <v>28</v>
      </c>
      <c r="E22" s="123"/>
      <c r="F22" s="123"/>
      <c r="G22" s="123"/>
      <c r="H22" s="123"/>
      <c r="I22" s="123"/>
      <c r="J22" s="124"/>
      <c r="K22" s="14" t="s">
        <v>29</v>
      </c>
      <c r="L22" s="15">
        <v>1</v>
      </c>
      <c r="M22" s="16"/>
      <c r="N22" s="17" t="str">
        <f>IF(ISBLANK(B22),"",IF(K22="","10%","8%"))</f>
        <v>8%</v>
      </c>
      <c r="O22" s="125">
        <v>3588</v>
      </c>
      <c r="P22" s="126"/>
      <c r="Q22" s="1"/>
      <c r="R22" s="1"/>
      <c r="S22" s="1"/>
      <c r="T22" s="1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1" s="3" customFormat="1" ht="24" customHeight="1">
      <c r="A23" s="1"/>
      <c r="B23" s="120">
        <v>45988</v>
      </c>
      <c r="C23" s="121"/>
      <c r="D23" s="122" t="s">
        <v>28</v>
      </c>
      <c r="E23" s="123"/>
      <c r="F23" s="123"/>
      <c r="G23" s="123"/>
      <c r="H23" s="123"/>
      <c r="I23" s="123"/>
      <c r="J23" s="124"/>
      <c r="K23" s="14" t="s">
        <v>29</v>
      </c>
      <c r="L23" s="15">
        <v>1</v>
      </c>
      <c r="M23" s="16"/>
      <c r="N23" s="17" t="str">
        <f>IF(ISBLANK(B23),"",IF(K23="","10%","8%"))</f>
        <v>8%</v>
      </c>
      <c r="O23" s="125">
        <v>2664</v>
      </c>
      <c r="P23" s="126"/>
      <c r="Q23" s="1"/>
      <c r="R23" s="1"/>
      <c r="S23" s="1"/>
      <c r="T23" s="1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1" s="3" customFormat="1" ht="24" customHeight="1">
      <c r="A24" s="1"/>
      <c r="B24" s="120">
        <v>45990</v>
      </c>
      <c r="C24" s="121"/>
      <c r="D24" s="122" t="s">
        <v>28</v>
      </c>
      <c r="E24" s="123"/>
      <c r="F24" s="123"/>
      <c r="G24" s="123"/>
      <c r="H24" s="123"/>
      <c r="I24" s="123"/>
      <c r="J24" s="124"/>
      <c r="K24" s="14" t="s">
        <v>29</v>
      </c>
      <c r="L24" s="15">
        <v>1</v>
      </c>
      <c r="M24" s="16"/>
      <c r="N24" s="17" t="str">
        <f>IF(ISBLANK(B24),"",IF(K24="","10%","8%"))</f>
        <v>8%</v>
      </c>
      <c r="O24" s="125">
        <v>4234</v>
      </c>
      <c r="P24" s="126"/>
      <c r="Q24" s="1"/>
      <c r="R24" s="1"/>
      <c r="S24" s="1"/>
      <c r="T24" s="1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1" s="3" customFormat="1" ht="24" customHeight="1">
      <c r="A25" s="1"/>
      <c r="B25" s="120">
        <v>45993</v>
      </c>
      <c r="C25" s="121"/>
      <c r="D25" s="122" t="s">
        <v>28</v>
      </c>
      <c r="E25" s="123"/>
      <c r="F25" s="123"/>
      <c r="G25" s="123"/>
      <c r="H25" s="123"/>
      <c r="I25" s="123"/>
      <c r="J25" s="124"/>
      <c r="K25" s="14" t="s">
        <v>29</v>
      </c>
      <c r="L25" s="15">
        <v>1</v>
      </c>
      <c r="M25" s="16"/>
      <c r="N25" s="17">
        <v>0.08</v>
      </c>
      <c r="O25" s="125">
        <v>4419</v>
      </c>
      <c r="P25" s="126"/>
      <c r="Q25" s="1"/>
      <c r="R25" s="1"/>
      <c r="S25" s="1"/>
      <c r="T25" s="1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1" s="3" customFormat="1" ht="24" customHeight="1">
      <c r="A26" s="1"/>
      <c r="B26" s="120">
        <v>45995</v>
      </c>
      <c r="C26" s="121"/>
      <c r="D26" s="122" t="s">
        <v>28</v>
      </c>
      <c r="E26" s="123"/>
      <c r="F26" s="123"/>
      <c r="G26" s="123"/>
      <c r="H26" s="123"/>
      <c r="I26" s="123"/>
      <c r="J26" s="124"/>
      <c r="K26" s="14" t="s">
        <v>29</v>
      </c>
      <c r="L26" s="15">
        <v>1</v>
      </c>
      <c r="M26" s="16"/>
      <c r="N26" s="17">
        <v>0.08</v>
      </c>
      <c r="O26" s="125">
        <v>2866</v>
      </c>
      <c r="P26" s="126"/>
      <c r="Q26" s="1"/>
      <c r="R26" s="1"/>
      <c r="S26" s="1"/>
      <c r="T26" s="1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1" s="3" customFormat="1" ht="24" customHeight="1">
      <c r="A27" s="1"/>
      <c r="B27" s="120">
        <v>45997</v>
      </c>
      <c r="C27" s="121"/>
      <c r="D27" s="122" t="s">
        <v>28</v>
      </c>
      <c r="E27" s="123"/>
      <c r="F27" s="123"/>
      <c r="G27" s="123"/>
      <c r="H27" s="123"/>
      <c r="I27" s="123"/>
      <c r="J27" s="124"/>
      <c r="K27" s="14" t="s">
        <v>29</v>
      </c>
      <c r="L27" s="15">
        <v>1</v>
      </c>
      <c r="M27" s="16"/>
      <c r="N27" s="17">
        <v>0.08</v>
      </c>
      <c r="O27" s="125">
        <v>4813</v>
      </c>
      <c r="P27" s="126"/>
      <c r="Q27" s="1"/>
      <c r="R27" s="1"/>
      <c r="S27" s="1"/>
      <c r="T27" s="1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1" s="3" customFormat="1" ht="24" customHeight="1">
      <c r="A28" s="1"/>
      <c r="B28" s="120">
        <v>46000</v>
      </c>
      <c r="C28" s="121"/>
      <c r="D28" s="122" t="s">
        <v>28</v>
      </c>
      <c r="E28" s="123"/>
      <c r="F28" s="123"/>
      <c r="G28" s="123"/>
      <c r="H28" s="123"/>
      <c r="I28" s="123"/>
      <c r="J28" s="124"/>
      <c r="K28" s="14" t="s">
        <v>29</v>
      </c>
      <c r="L28" s="15">
        <v>1</v>
      </c>
      <c r="M28" s="16"/>
      <c r="N28" s="17">
        <v>0.08</v>
      </c>
      <c r="O28" s="125">
        <v>3851</v>
      </c>
      <c r="P28" s="126"/>
      <c r="Q28" s="1"/>
      <c r="R28" s="1"/>
      <c r="S28" s="1"/>
      <c r="T28" s="1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1" s="3" customFormat="1" ht="24" customHeight="1">
      <c r="A29" s="1"/>
      <c r="B29" s="120">
        <v>46002</v>
      </c>
      <c r="C29" s="121"/>
      <c r="D29" s="122" t="s">
        <v>28</v>
      </c>
      <c r="E29" s="123"/>
      <c r="F29" s="123"/>
      <c r="G29" s="123"/>
      <c r="H29" s="123"/>
      <c r="I29" s="123"/>
      <c r="J29" s="124"/>
      <c r="K29" s="14" t="s">
        <v>29</v>
      </c>
      <c r="L29" s="15">
        <v>1</v>
      </c>
      <c r="M29" s="16"/>
      <c r="N29" s="17">
        <v>0.08</v>
      </c>
      <c r="O29" s="125">
        <v>4779</v>
      </c>
      <c r="P29" s="126"/>
      <c r="Q29" s="1"/>
      <c r="R29" s="1"/>
      <c r="S29" s="1"/>
      <c r="T29" s="1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1" s="3" customFormat="1" ht="24" customHeight="1">
      <c r="A30" s="1"/>
      <c r="B30" s="120">
        <v>46004</v>
      </c>
      <c r="C30" s="121"/>
      <c r="D30" s="122" t="s">
        <v>28</v>
      </c>
      <c r="E30" s="123"/>
      <c r="F30" s="123"/>
      <c r="G30" s="123"/>
      <c r="H30" s="123"/>
      <c r="I30" s="123"/>
      <c r="J30" s="124"/>
      <c r="K30" s="14" t="s">
        <v>29</v>
      </c>
      <c r="L30" s="15">
        <v>1</v>
      </c>
      <c r="M30" s="16"/>
      <c r="N30" s="17" t="str">
        <f t="shared" ref="N30:N31" si="0">IF(ISBLANK(B30),"",IF(K30="","10%","8%"))</f>
        <v>8%</v>
      </c>
      <c r="O30" s="125">
        <v>4733</v>
      </c>
      <c r="P30" s="126"/>
      <c r="Q30" s="1"/>
      <c r="R30" s="1"/>
      <c r="S30" s="1"/>
      <c r="T30" s="1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1" s="3" customFormat="1" ht="24" customHeight="1">
      <c r="A31" s="1"/>
      <c r="B31" s="120">
        <v>46007</v>
      </c>
      <c r="C31" s="121"/>
      <c r="D31" s="122" t="s">
        <v>28</v>
      </c>
      <c r="E31" s="123"/>
      <c r="F31" s="123"/>
      <c r="G31" s="123"/>
      <c r="H31" s="123"/>
      <c r="I31" s="123"/>
      <c r="J31" s="124"/>
      <c r="K31" s="14" t="s">
        <v>29</v>
      </c>
      <c r="L31" s="15">
        <v>1</v>
      </c>
      <c r="M31" s="16"/>
      <c r="N31" s="17" t="str">
        <f t="shared" si="0"/>
        <v>8%</v>
      </c>
      <c r="O31" s="125">
        <v>5030</v>
      </c>
      <c r="P31" s="126"/>
      <c r="Q31" s="1"/>
      <c r="R31" s="1"/>
      <c r="S31" s="1"/>
      <c r="T31" s="1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1" s="3" customFormat="1" ht="24" customHeight="1">
      <c r="A32" s="1"/>
      <c r="B32" s="120">
        <v>46009</v>
      </c>
      <c r="C32" s="121"/>
      <c r="D32" s="122" t="s">
        <v>28</v>
      </c>
      <c r="E32" s="123"/>
      <c r="F32" s="123"/>
      <c r="G32" s="123"/>
      <c r="H32" s="123"/>
      <c r="I32" s="123"/>
      <c r="J32" s="124"/>
      <c r="K32" s="14" t="s">
        <v>29</v>
      </c>
      <c r="L32" s="15">
        <v>1</v>
      </c>
      <c r="M32" s="16"/>
      <c r="N32" s="17">
        <v>0.08</v>
      </c>
      <c r="O32" s="125">
        <v>3783</v>
      </c>
      <c r="P32" s="126"/>
      <c r="Q32" s="1"/>
      <c r="R32" s="1"/>
      <c r="S32" s="1"/>
      <c r="T32" s="1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1" s="3" customFormat="1" ht="24" customHeight="1">
      <c r="A33" s="1"/>
      <c r="B33" s="120">
        <v>46011</v>
      </c>
      <c r="C33" s="121"/>
      <c r="D33" s="122" t="s">
        <v>28</v>
      </c>
      <c r="E33" s="123"/>
      <c r="F33" s="123"/>
      <c r="G33" s="123"/>
      <c r="H33" s="123"/>
      <c r="I33" s="123"/>
      <c r="J33" s="124"/>
      <c r="K33" s="14" t="s">
        <v>29</v>
      </c>
      <c r="L33" s="15">
        <v>1</v>
      </c>
      <c r="M33" s="16"/>
      <c r="N33" s="17">
        <v>0.08</v>
      </c>
      <c r="O33" s="125">
        <v>3878</v>
      </c>
      <c r="P33" s="126"/>
      <c r="Q33" s="1"/>
      <c r="R33" s="1"/>
      <c r="S33" s="1"/>
      <c r="T33" s="1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1" s="3" customFormat="1" ht="24" customHeight="1">
      <c r="A34" s="1"/>
      <c r="B34" s="120"/>
      <c r="C34" s="121"/>
      <c r="D34" s="122"/>
      <c r="E34" s="123"/>
      <c r="F34" s="123"/>
      <c r="G34" s="123"/>
      <c r="H34" s="123"/>
      <c r="I34" s="123"/>
      <c r="J34" s="124"/>
      <c r="K34" s="14"/>
      <c r="L34" s="15"/>
      <c r="M34" s="16"/>
      <c r="N34" s="17" t="str">
        <f t="shared" ref="N34:N41" si="1">IF(ISBLANK(B34),"",IF(K34="","10%","8%"))</f>
        <v/>
      </c>
      <c r="O34" s="125"/>
      <c r="P34" s="126"/>
      <c r="Q34" s="1"/>
      <c r="R34" s="1"/>
      <c r="S34" s="1"/>
      <c r="T34" s="1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1" s="3" customFormat="1" ht="24" customHeight="1">
      <c r="A35" s="1"/>
      <c r="B35" s="120"/>
      <c r="C35" s="121"/>
      <c r="D35" s="122"/>
      <c r="E35" s="123"/>
      <c r="F35" s="123"/>
      <c r="G35" s="123"/>
      <c r="H35" s="123"/>
      <c r="I35" s="123"/>
      <c r="J35" s="124"/>
      <c r="K35" s="14"/>
      <c r="L35" s="15"/>
      <c r="M35" s="16"/>
      <c r="N35" s="17" t="str">
        <f t="shared" si="1"/>
        <v/>
      </c>
      <c r="O35" s="125"/>
      <c r="P35" s="126"/>
      <c r="Q35" s="1"/>
      <c r="R35" s="1"/>
      <c r="S35" s="1"/>
      <c r="T35" s="1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1" s="3" customFormat="1" ht="24" customHeight="1">
      <c r="A36" s="1"/>
      <c r="B36" s="120"/>
      <c r="C36" s="121"/>
      <c r="D36" s="122"/>
      <c r="E36" s="123"/>
      <c r="F36" s="123"/>
      <c r="G36" s="123"/>
      <c r="H36" s="123"/>
      <c r="I36" s="123"/>
      <c r="J36" s="124"/>
      <c r="K36" s="18"/>
      <c r="L36" s="15"/>
      <c r="M36" s="16"/>
      <c r="N36" s="17" t="str">
        <f t="shared" si="1"/>
        <v/>
      </c>
      <c r="O36" s="125"/>
      <c r="P36" s="126"/>
      <c r="Q36" s="1"/>
      <c r="R36" s="1"/>
      <c r="S36" s="1"/>
      <c r="T36" s="1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1" s="3" customFormat="1" ht="24" customHeight="1">
      <c r="A37" s="1"/>
      <c r="B37" s="120"/>
      <c r="C37" s="121"/>
      <c r="D37" s="122"/>
      <c r="E37" s="123"/>
      <c r="F37" s="123"/>
      <c r="G37" s="123"/>
      <c r="H37" s="123"/>
      <c r="I37" s="123"/>
      <c r="J37" s="124"/>
      <c r="K37" s="18"/>
      <c r="L37" s="15"/>
      <c r="M37" s="16"/>
      <c r="N37" s="17" t="str">
        <f t="shared" si="1"/>
        <v/>
      </c>
      <c r="O37" s="125"/>
      <c r="P37" s="126"/>
      <c r="Q37" s="1"/>
      <c r="R37" s="1"/>
      <c r="S37" s="1"/>
      <c r="T37" s="1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1" s="3" customFormat="1" ht="24" customHeight="1">
      <c r="A38" s="1"/>
      <c r="B38" s="120"/>
      <c r="C38" s="121"/>
      <c r="D38" s="122"/>
      <c r="E38" s="123"/>
      <c r="F38" s="123"/>
      <c r="G38" s="123"/>
      <c r="H38" s="123"/>
      <c r="I38" s="123"/>
      <c r="J38" s="124"/>
      <c r="K38" s="18"/>
      <c r="L38" s="15"/>
      <c r="M38" s="16"/>
      <c r="N38" s="17" t="str">
        <f t="shared" si="1"/>
        <v/>
      </c>
      <c r="O38" s="125"/>
      <c r="P38" s="126"/>
      <c r="Q38" s="1"/>
      <c r="R38" s="1"/>
      <c r="S38" s="1"/>
      <c r="T38" s="1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1" s="3" customFormat="1" ht="24" customHeight="1">
      <c r="A39" s="1"/>
      <c r="B39" s="120"/>
      <c r="C39" s="121"/>
      <c r="D39" s="122"/>
      <c r="E39" s="123"/>
      <c r="F39" s="123"/>
      <c r="G39" s="123"/>
      <c r="H39" s="123"/>
      <c r="I39" s="123"/>
      <c r="J39" s="124"/>
      <c r="K39" s="18"/>
      <c r="L39" s="15"/>
      <c r="M39" s="16"/>
      <c r="N39" s="17" t="str">
        <f t="shared" si="1"/>
        <v/>
      </c>
      <c r="O39" s="125"/>
      <c r="P39" s="126"/>
      <c r="Q39" s="1"/>
      <c r="R39" s="1"/>
      <c r="S39" s="1"/>
      <c r="T39" s="1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1" s="3" customFormat="1" ht="24" customHeight="1">
      <c r="A40" s="1"/>
      <c r="B40" s="120"/>
      <c r="C40" s="121"/>
      <c r="D40" s="122"/>
      <c r="E40" s="123"/>
      <c r="F40" s="123"/>
      <c r="G40" s="123"/>
      <c r="H40" s="123"/>
      <c r="I40" s="123"/>
      <c r="J40" s="124"/>
      <c r="K40" s="18"/>
      <c r="L40" s="15"/>
      <c r="M40" s="16"/>
      <c r="N40" s="17" t="str">
        <f t="shared" si="1"/>
        <v/>
      </c>
      <c r="O40" s="125"/>
      <c r="P40" s="126"/>
      <c r="Q40" s="1"/>
      <c r="R40" s="1"/>
      <c r="S40" s="1"/>
      <c r="T40" s="1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1" s="3" customFormat="1" ht="24" customHeight="1">
      <c r="A41" s="1"/>
      <c r="B41" s="120"/>
      <c r="C41" s="121"/>
      <c r="D41" s="122"/>
      <c r="E41" s="123"/>
      <c r="F41" s="123"/>
      <c r="G41" s="123"/>
      <c r="H41" s="123"/>
      <c r="I41" s="123"/>
      <c r="J41" s="124"/>
      <c r="K41" s="18"/>
      <c r="L41" s="15"/>
      <c r="M41" s="16"/>
      <c r="N41" s="17" t="str">
        <f t="shared" si="1"/>
        <v/>
      </c>
      <c r="O41" s="127"/>
      <c r="P41" s="127"/>
      <c r="Q41" s="1"/>
      <c r="R41" s="1"/>
      <c r="S41" s="1"/>
      <c r="T41" s="1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1" s="3" customFormat="1" ht="24" customHeight="1">
      <c r="A42" s="1"/>
      <c r="B42" s="10" t="s">
        <v>30</v>
      </c>
      <c r="C42" s="10"/>
      <c r="D42" s="10"/>
      <c r="E42" s="10"/>
      <c r="F42" s="10"/>
      <c r="G42" s="10"/>
      <c r="H42" s="10"/>
      <c r="I42" s="10"/>
      <c r="J42" s="10"/>
      <c r="K42" s="10"/>
      <c r="L42" s="1"/>
      <c r="M42" s="10"/>
      <c r="N42" s="19"/>
      <c r="O42" s="20" t="s">
        <v>31</v>
      </c>
      <c r="P42" s="109">
        <f>D44</f>
        <v>3678.1481481481533</v>
      </c>
      <c r="Q42" s="110"/>
      <c r="R42" s="1"/>
      <c r="S42" s="1"/>
      <c r="T42" s="1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s="3" customFormat="1" ht="24" customHeight="1">
      <c r="A43" s="1"/>
      <c r="B43" s="111" t="s">
        <v>32</v>
      </c>
      <c r="C43" s="112"/>
      <c r="D43" s="112" t="s">
        <v>33</v>
      </c>
      <c r="E43" s="112"/>
      <c r="F43" s="113" t="s">
        <v>27</v>
      </c>
      <c r="G43" s="114"/>
      <c r="H43" s="10"/>
      <c r="I43" s="10"/>
      <c r="J43" s="10"/>
      <c r="K43" s="10"/>
      <c r="L43" s="10"/>
      <c r="M43" s="10"/>
      <c r="N43" s="19"/>
      <c r="O43" s="20" t="s">
        <v>34</v>
      </c>
      <c r="P43" s="115">
        <f>SUM(O21:P32)</f>
        <v>49655</v>
      </c>
      <c r="Q43" s="116"/>
      <c r="R43" s="1"/>
      <c r="S43" s="1"/>
      <c r="T43" s="1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s="3" customFormat="1" ht="24" customHeight="1">
      <c r="A44" s="1"/>
      <c r="B44" s="117" t="s">
        <v>35</v>
      </c>
      <c r="C44" s="118"/>
      <c r="D44" s="119">
        <f>P43-(F44/1.08)</f>
        <v>3678.1481481481533</v>
      </c>
      <c r="E44" s="119"/>
      <c r="F44" s="109">
        <f>SUM(O21:P32)</f>
        <v>49655</v>
      </c>
      <c r="G44" s="110"/>
      <c r="H44" s="10"/>
      <c r="I44" s="10"/>
      <c r="J44" s="10"/>
      <c r="K44" s="10"/>
      <c r="L44" s="10"/>
      <c r="M44" s="10"/>
      <c r="N44" s="19"/>
      <c r="O44" s="21"/>
      <c r="P44" s="21"/>
      <c r="Q44" s="21"/>
      <c r="R44" s="1"/>
      <c r="S44" s="1"/>
      <c r="T44" s="1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s="3" customFormat="1" ht="24" customHeight="1">
      <c r="A45" s="1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9"/>
      <c r="O45" s="19"/>
      <c r="P45" s="19"/>
      <c r="Q45" s="19"/>
      <c r="R45" s="1"/>
      <c r="S45" s="1"/>
      <c r="T45" s="1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s="3" customFormat="1" ht="33" customHeight="1">
      <c r="A46" s="1"/>
      <c r="B46" s="22" t="s">
        <v>36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4"/>
      <c r="R46" s="1"/>
      <c r="S46" s="1"/>
      <c r="T46" s="1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s="3" customFormat="1" ht="33" customHeight="1">
      <c r="A47" s="1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7"/>
      <c r="R47" s="1"/>
      <c r="S47" s="1"/>
      <c r="T47" s="1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s="3" customFormat="1" ht="33" customHeight="1">
      <c r="A48" s="1"/>
      <c r="B48" s="28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30"/>
      <c r="R48" s="1"/>
      <c r="S48" s="1"/>
      <c r="T48" s="1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s="3" customFormat="1" ht="33" customHeight="1">
      <c r="A49" s="1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3"/>
      <c r="R49" s="1"/>
      <c r="S49" s="1"/>
      <c r="T49" s="1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33" customHeight="1"/>
    <row r="51" spans="1:31" ht="33" customHeight="1"/>
    <row r="52" spans="1:31" ht="33" customHeight="1"/>
    <row r="53" spans="1:31" ht="33" customHeight="1"/>
    <row r="54" spans="1:31" ht="33" customHeight="1"/>
    <row r="55" spans="1:31" ht="33" customHeight="1"/>
    <row r="56" spans="1:31" ht="33" customHeight="1"/>
    <row r="57" spans="1:31" ht="33" customHeight="1"/>
    <row r="58" spans="1:31" ht="33" customHeight="1"/>
    <row r="59" spans="1:31" ht="33" customHeight="1"/>
    <row r="60" spans="1:31" ht="33" customHeight="1"/>
    <row r="61" spans="1:31" ht="33" customHeight="1"/>
    <row r="62" spans="1:31" ht="33" customHeight="1"/>
    <row r="63" spans="1:31" ht="33" customHeight="1"/>
    <row r="64" spans="1:31" ht="33" hidden="1" customHeight="1"/>
    <row r="65" ht="33" hidden="1" customHeight="1"/>
    <row r="66" hidden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</sheetData>
  <mergeCells count="94">
    <mergeCell ref="B7:J7"/>
    <mergeCell ref="B2:Q2"/>
    <mergeCell ref="O4:Q4"/>
    <mergeCell ref="O5:Q5"/>
    <mergeCell ref="B6:I6"/>
    <mergeCell ref="O6:Q6"/>
    <mergeCell ref="B8:J8"/>
    <mergeCell ref="M8:Q8"/>
    <mergeCell ref="B9:J9"/>
    <mergeCell ref="M9:Q9"/>
    <mergeCell ref="B10:J10"/>
    <mergeCell ref="N10:Q10"/>
    <mergeCell ref="B11:J11"/>
    <mergeCell ref="N11:Q11"/>
    <mergeCell ref="B12:J13"/>
    <mergeCell ref="N12:Q12"/>
    <mergeCell ref="B15:B16"/>
    <mergeCell ref="C15:H15"/>
    <mergeCell ref="C16:H16"/>
    <mergeCell ref="C17:H17"/>
    <mergeCell ref="B20:C20"/>
    <mergeCell ref="D20:J20"/>
    <mergeCell ref="O20:P20"/>
    <mergeCell ref="B21:C21"/>
    <mergeCell ref="D21:J21"/>
    <mergeCell ref="O21:P21"/>
    <mergeCell ref="B22:C22"/>
    <mergeCell ref="D22:J22"/>
    <mergeCell ref="O22:P22"/>
    <mergeCell ref="B23:C23"/>
    <mergeCell ref="D23:J23"/>
    <mergeCell ref="O23:P23"/>
    <mergeCell ref="B24:C24"/>
    <mergeCell ref="D24:J24"/>
    <mergeCell ref="O24:P24"/>
    <mergeCell ref="B25:C25"/>
    <mergeCell ref="D25:J25"/>
    <mergeCell ref="O25:P25"/>
    <mergeCell ref="B26:C26"/>
    <mergeCell ref="D26:J26"/>
    <mergeCell ref="O26:P26"/>
    <mergeCell ref="B27:C27"/>
    <mergeCell ref="D27:J27"/>
    <mergeCell ref="O27:P27"/>
    <mergeCell ref="B28:C28"/>
    <mergeCell ref="D28:J28"/>
    <mergeCell ref="O28:P28"/>
    <mergeCell ref="B29:C29"/>
    <mergeCell ref="D29:J29"/>
    <mergeCell ref="O29:P29"/>
    <mergeCell ref="B30:C30"/>
    <mergeCell ref="D30:J30"/>
    <mergeCell ref="O30:P30"/>
    <mergeCell ref="B31:C31"/>
    <mergeCell ref="D31:J31"/>
    <mergeCell ref="O31:P31"/>
    <mergeCell ref="B32:C32"/>
    <mergeCell ref="D32:J32"/>
    <mergeCell ref="O32:P32"/>
    <mergeCell ref="B33:C33"/>
    <mergeCell ref="D33:J33"/>
    <mergeCell ref="O33:P33"/>
    <mergeCell ref="B34:C34"/>
    <mergeCell ref="D34:J34"/>
    <mergeCell ref="O34:P34"/>
    <mergeCell ref="B35:C35"/>
    <mergeCell ref="D35:J35"/>
    <mergeCell ref="O35:P35"/>
    <mergeCell ref="B36:C36"/>
    <mergeCell ref="D36:J36"/>
    <mergeCell ref="O36:P36"/>
    <mergeCell ref="B37:C37"/>
    <mergeCell ref="D37:J37"/>
    <mergeCell ref="O37:P37"/>
    <mergeCell ref="O40:P40"/>
    <mergeCell ref="B41:C41"/>
    <mergeCell ref="D41:J41"/>
    <mergeCell ref="O41:P41"/>
    <mergeCell ref="B38:C38"/>
    <mergeCell ref="D38:J38"/>
    <mergeCell ref="O38:P38"/>
    <mergeCell ref="B39:C39"/>
    <mergeCell ref="D39:J39"/>
    <mergeCell ref="O39:P39"/>
    <mergeCell ref="B44:C44"/>
    <mergeCell ref="D44:E44"/>
    <mergeCell ref="F44:G44"/>
    <mergeCell ref="B40:C40"/>
    <mergeCell ref="D40:J40"/>
    <mergeCell ref="P42:Q42"/>
    <mergeCell ref="B43:C43"/>
    <mergeCell ref="D43:E43"/>
    <mergeCell ref="F43:G43"/>
    <mergeCell ref="P43:Q43"/>
  </mergeCells>
  <phoneticPr fontId="3"/>
  <dataValidations count="2">
    <dataValidation type="list" allowBlank="1" showInputMessage="1" showErrorMessage="1" sqref="K21:K41" xr:uid="{75CD1F68-CCC6-48AC-871A-2C5B62A92F96}">
      <formula1>"※"</formula1>
    </dataValidation>
    <dataValidation type="date" operator="greaterThan" allowBlank="1" showInputMessage="1" showErrorMessage="1" errorTitle="日付の入力エラー" error="正しい日付を入力してください。" sqref="O4:Q5 B21:C41" xr:uid="{9BA33C9E-E4D2-4FC9-AF55-A374CCA7B613}">
      <formula1>1</formula1>
    </dataValidation>
  </dataValidations>
  <pageMargins left="0" right="0" top="0" bottom="0" header="0" footer="0"/>
  <pageSetup paperSize="9" scale="3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D3A5-E130-4613-8C88-40E355ED1996}">
  <dimension ref="A1:T42"/>
  <sheetViews>
    <sheetView tabSelected="1" topLeftCell="A13" workbookViewId="0">
      <selection activeCell="Q36" sqref="Q36:T36"/>
    </sheetView>
  </sheetViews>
  <sheetFormatPr defaultRowHeight="18.75"/>
  <cols>
    <col min="1" max="12" width="3.625" customWidth="1"/>
    <col min="13" max="13" width="4.5" customWidth="1"/>
    <col min="14" max="14" width="5.625" customWidth="1"/>
    <col min="15" max="15" width="3.625" customWidth="1"/>
    <col min="16" max="16" width="6.125" customWidth="1"/>
    <col min="17" max="22" width="3.625" customWidth="1"/>
  </cols>
  <sheetData>
    <row r="1" spans="1:20" ht="39.75">
      <c r="A1" s="105" t="s">
        <v>37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</row>
    <row r="2" spans="1:20">
      <c r="M2" s="34" t="s">
        <v>38</v>
      </c>
      <c r="N2" s="106">
        <v>2026</v>
      </c>
      <c r="O2" s="106"/>
      <c r="P2" t="s">
        <v>39</v>
      </c>
      <c r="Q2">
        <v>7</v>
      </c>
      <c r="R2" t="s">
        <v>40</v>
      </c>
      <c r="S2">
        <v>23</v>
      </c>
      <c r="T2" t="s">
        <v>41</v>
      </c>
    </row>
    <row r="3" spans="1:20">
      <c r="B3" s="106" t="s">
        <v>65</v>
      </c>
      <c r="C3" s="106"/>
      <c r="D3" s="106"/>
      <c r="E3" s="106"/>
      <c r="F3" s="106"/>
      <c r="G3" s="106"/>
      <c r="H3" s="106"/>
      <c r="I3" s="106"/>
      <c r="M3" s="107" t="s">
        <v>42</v>
      </c>
      <c r="N3" s="107"/>
      <c r="O3" t="s">
        <v>43</v>
      </c>
    </row>
    <row r="4" spans="1:20">
      <c r="B4" s="106"/>
      <c r="C4" s="106"/>
      <c r="D4" s="106"/>
      <c r="E4" s="106"/>
      <c r="F4" s="106"/>
      <c r="G4" s="106"/>
      <c r="H4" s="106"/>
      <c r="I4" s="106"/>
      <c r="J4" t="s">
        <v>44</v>
      </c>
      <c r="N4" s="36"/>
    </row>
    <row r="5" spans="1:20" ht="19.5">
      <c r="N5" s="37" t="s">
        <v>45</v>
      </c>
      <c r="O5" s="37"/>
      <c r="P5" s="37"/>
      <c r="Q5" s="37"/>
      <c r="R5" s="37"/>
      <c r="S5" s="37"/>
    </row>
    <row r="6" spans="1:20">
      <c r="B6" t="s">
        <v>46</v>
      </c>
      <c r="N6" t="s">
        <v>47</v>
      </c>
    </row>
    <row r="7" spans="1:20">
      <c r="B7" s="108" t="s">
        <v>48</v>
      </c>
      <c r="C7" s="108"/>
      <c r="D7" s="108"/>
      <c r="E7" s="108"/>
      <c r="F7" s="108"/>
      <c r="G7" s="108"/>
      <c r="H7" s="108"/>
      <c r="I7" s="108"/>
      <c r="J7" s="108"/>
      <c r="K7" s="108"/>
      <c r="L7" s="35"/>
      <c r="N7" t="s">
        <v>49</v>
      </c>
    </row>
    <row r="8" spans="1:20">
      <c r="B8" s="104">
        <f>Q35</f>
        <v>42065</v>
      </c>
      <c r="C8" s="104"/>
      <c r="D8" s="104"/>
      <c r="E8" s="104"/>
      <c r="F8" s="104"/>
      <c r="G8" s="104"/>
      <c r="H8" s="104"/>
      <c r="I8" s="104"/>
      <c r="J8" s="104"/>
      <c r="K8" s="104"/>
      <c r="L8" s="35"/>
      <c r="N8" s="38" t="s">
        <v>50</v>
      </c>
    </row>
    <row r="9" spans="1:20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35"/>
      <c r="N9" t="s">
        <v>51</v>
      </c>
    </row>
    <row r="11" spans="1:20">
      <c r="B11" s="92" t="s">
        <v>16</v>
      </c>
      <c r="C11" s="93"/>
      <c r="D11" s="93"/>
      <c r="E11" s="94"/>
      <c r="F11" s="39" t="s">
        <v>17</v>
      </c>
      <c r="G11" s="40"/>
      <c r="H11" s="40"/>
      <c r="I11" s="40"/>
      <c r="J11" s="40"/>
      <c r="K11" s="41"/>
      <c r="L11" s="42"/>
      <c r="M11" s="43"/>
      <c r="N11" s="44"/>
      <c r="O11" s="45"/>
      <c r="P11" s="45"/>
      <c r="Q11" s="45"/>
    </row>
    <row r="12" spans="1:20">
      <c r="B12" s="95"/>
      <c r="C12" s="96"/>
      <c r="D12" s="96"/>
      <c r="E12" s="97"/>
      <c r="F12" s="46" t="s">
        <v>18</v>
      </c>
      <c r="G12" s="47"/>
      <c r="H12" s="47"/>
      <c r="I12" s="47"/>
      <c r="J12" s="47"/>
      <c r="K12" s="47"/>
      <c r="L12" s="45"/>
      <c r="M12" s="45"/>
      <c r="N12" s="45"/>
      <c r="O12" s="48"/>
      <c r="P12" s="45"/>
      <c r="Q12" s="45"/>
    </row>
    <row r="13" spans="1:20">
      <c r="B13" s="98" t="s">
        <v>19</v>
      </c>
      <c r="C13" s="99"/>
      <c r="D13" s="99"/>
      <c r="E13" s="100"/>
      <c r="F13" s="101">
        <v>46264</v>
      </c>
      <c r="G13" s="102"/>
      <c r="H13" s="102"/>
      <c r="I13" s="102"/>
      <c r="J13" s="102"/>
      <c r="K13" s="102"/>
      <c r="L13" s="102"/>
      <c r="M13" s="102"/>
      <c r="N13" s="49"/>
      <c r="O13" s="50"/>
      <c r="P13" s="50"/>
      <c r="Q13" s="45"/>
    </row>
    <row r="15" spans="1:20" ht="15" customHeight="1">
      <c r="B15" s="51"/>
    </row>
    <row r="16" spans="1:20" ht="15" customHeight="1">
      <c r="B16" s="103" t="s">
        <v>52</v>
      </c>
      <c r="C16" s="103"/>
      <c r="D16" s="103"/>
      <c r="E16" s="103"/>
      <c r="F16" s="103" t="s">
        <v>53</v>
      </c>
      <c r="G16" s="103"/>
      <c r="H16" s="103"/>
      <c r="I16" s="103"/>
      <c r="J16" s="103"/>
      <c r="K16" s="103"/>
      <c r="L16" s="103"/>
      <c r="M16" s="103"/>
      <c r="N16" s="52" t="s">
        <v>54</v>
      </c>
      <c r="O16" s="103" t="s">
        <v>55</v>
      </c>
      <c r="P16" s="103"/>
      <c r="Q16" s="103" t="s">
        <v>56</v>
      </c>
      <c r="R16" s="103"/>
      <c r="S16" s="103"/>
      <c r="T16" s="103"/>
    </row>
    <row r="17" spans="2:20" ht="15" customHeight="1">
      <c r="B17" s="88">
        <v>46196</v>
      </c>
      <c r="C17" s="89"/>
      <c r="D17" s="89"/>
      <c r="E17" s="89"/>
      <c r="F17" s="89" t="s">
        <v>57</v>
      </c>
      <c r="G17" s="89"/>
      <c r="H17" s="89"/>
      <c r="I17" s="89"/>
      <c r="J17" s="89"/>
      <c r="K17" s="89"/>
      <c r="L17" s="89"/>
      <c r="M17" s="89"/>
      <c r="N17" s="53">
        <v>0.08</v>
      </c>
      <c r="O17" s="89">
        <v>1</v>
      </c>
      <c r="P17" s="89"/>
      <c r="Q17" s="90">
        <v>5292</v>
      </c>
      <c r="R17" s="90"/>
      <c r="S17" s="90"/>
      <c r="T17" s="90"/>
    </row>
    <row r="18" spans="2:20" ht="15" customHeight="1">
      <c r="B18" s="88">
        <v>46198</v>
      </c>
      <c r="C18" s="89"/>
      <c r="D18" s="89"/>
      <c r="E18" s="89"/>
      <c r="F18" s="89" t="s">
        <v>57</v>
      </c>
      <c r="G18" s="89"/>
      <c r="H18" s="89"/>
      <c r="I18" s="89"/>
      <c r="J18" s="89"/>
      <c r="K18" s="89"/>
      <c r="L18" s="89"/>
      <c r="M18" s="89"/>
      <c r="N18" s="53">
        <v>0.08</v>
      </c>
      <c r="O18" s="89">
        <v>1</v>
      </c>
      <c r="P18" s="89"/>
      <c r="Q18" s="90">
        <v>3762</v>
      </c>
      <c r="R18" s="90"/>
      <c r="S18" s="90"/>
      <c r="T18" s="90"/>
    </row>
    <row r="19" spans="2:20" ht="15" customHeight="1">
      <c r="B19" s="88">
        <v>46200</v>
      </c>
      <c r="C19" s="89"/>
      <c r="D19" s="89"/>
      <c r="E19" s="89"/>
      <c r="F19" s="89" t="s">
        <v>57</v>
      </c>
      <c r="G19" s="89"/>
      <c r="H19" s="89"/>
      <c r="I19" s="89"/>
      <c r="J19" s="89"/>
      <c r="K19" s="89"/>
      <c r="L19" s="89"/>
      <c r="M19" s="89"/>
      <c r="N19" s="53">
        <v>0.08</v>
      </c>
      <c r="O19" s="89">
        <v>1</v>
      </c>
      <c r="P19" s="89"/>
      <c r="Q19" s="90">
        <v>3510</v>
      </c>
      <c r="R19" s="90"/>
      <c r="S19" s="90"/>
      <c r="T19" s="90"/>
    </row>
    <row r="20" spans="2:20" ht="15" customHeight="1">
      <c r="B20" s="88">
        <v>46203</v>
      </c>
      <c r="C20" s="89"/>
      <c r="D20" s="89"/>
      <c r="E20" s="89"/>
      <c r="F20" s="89" t="s">
        <v>57</v>
      </c>
      <c r="G20" s="89"/>
      <c r="H20" s="89"/>
      <c r="I20" s="89"/>
      <c r="J20" s="89"/>
      <c r="K20" s="89"/>
      <c r="L20" s="89"/>
      <c r="M20" s="89"/>
      <c r="N20" s="53">
        <v>0.08</v>
      </c>
      <c r="O20" s="89">
        <v>1</v>
      </c>
      <c r="P20" s="89"/>
      <c r="Q20" s="90">
        <v>3051</v>
      </c>
      <c r="R20" s="90"/>
      <c r="S20" s="90"/>
      <c r="T20" s="90"/>
    </row>
    <row r="21" spans="2:20" ht="15" customHeight="1">
      <c r="B21" s="88">
        <v>46205</v>
      </c>
      <c r="C21" s="89"/>
      <c r="D21" s="89"/>
      <c r="E21" s="89"/>
      <c r="F21" s="89" t="s">
        <v>57</v>
      </c>
      <c r="G21" s="89"/>
      <c r="H21" s="89"/>
      <c r="I21" s="89"/>
      <c r="J21" s="89"/>
      <c r="K21" s="89"/>
      <c r="L21" s="89"/>
      <c r="M21" s="89"/>
      <c r="N21" s="53">
        <v>0.08</v>
      </c>
      <c r="O21" s="89">
        <v>1</v>
      </c>
      <c r="P21" s="89"/>
      <c r="Q21" s="90">
        <v>2563</v>
      </c>
      <c r="R21" s="90"/>
      <c r="S21" s="90"/>
      <c r="T21" s="90"/>
    </row>
    <row r="22" spans="2:20" ht="15" customHeight="1">
      <c r="B22" s="88">
        <v>46207</v>
      </c>
      <c r="C22" s="89"/>
      <c r="D22" s="89"/>
      <c r="E22" s="89"/>
      <c r="F22" s="89" t="s">
        <v>57</v>
      </c>
      <c r="G22" s="89"/>
      <c r="H22" s="89"/>
      <c r="I22" s="89"/>
      <c r="J22" s="89"/>
      <c r="K22" s="89"/>
      <c r="L22" s="89"/>
      <c r="M22" s="89"/>
      <c r="N22" s="53">
        <v>0.08</v>
      </c>
      <c r="O22" s="89">
        <v>1</v>
      </c>
      <c r="P22" s="89"/>
      <c r="Q22" s="90">
        <v>4293</v>
      </c>
      <c r="R22" s="90"/>
      <c r="S22" s="90"/>
      <c r="T22" s="90"/>
    </row>
    <row r="23" spans="2:20" ht="15" customHeight="1">
      <c r="B23" s="88">
        <v>46210</v>
      </c>
      <c r="C23" s="89"/>
      <c r="D23" s="89"/>
      <c r="E23" s="89"/>
      <c r="F23" s="89" t="s">
        <v>57</v>
      </c>
      <c r="G23" s="89"/>
      <c r="H23" s="89"/>
      <c r="I23" s="89"/>
      <c r="J23" s="89"/>
      <c r="K23" s="89"/>
      <c r="L23" s="89"/>
      <c r="M23" s="89"/>
      <c r="N23" s="53">
        <v>0.08</v>
      </c>
      <c r="O23" s="89">
        <v>1</v>
      </c>
      <c r="P23" s="89"/>
      <c r="Q23" s="90">
        <v>3699</v>
      </c>
      <c r="R23" s="90"/>
      <c r="S23" s="90"/>
      <c r="T23" s="90"/>
    </row>
    <row r="24" spans="2:20" ht="15" customHeight="1">
      <c r="B24" s="88">
        <v>46212</v>
      </c>
      <c r="C24" s="89"/>
      <c r="D24" s="89"/>
      <c r="E24" s="89"/>
      <c r="F24" s="89" t="s">
        <v>57</v>
      </c>
      <c r="G24" s="89"/>
      <c r="H24" s="89"/>
      <c r="I24" s="89"/>
      <c r="J24" s="89"/>
      <c r="K24" s="89"/>
      <c r="L24" s="89"/>
      <c r="M24" s="89"/>
      <c r="N24" s="53">
        <v>0.08</v>
      </c>
      <c r="O24" s="89">
        <v>1</v>
      </c>
      <c r="P24" s="89"/>
      <c r="Q24" s="90">
        <v>2758</v>
      </c>
      <c r="R24" s="90"/>
      <c r="S24" s="90"/>
      <c r="T24" s="90"/>
    </row>
    <row r="25" spans="2:20" ht="15" customHeight="1">
      <c r="B25" s="88">
        <v>46214</v>
      </c>
      <c r="C25" s="89"/>
      <c r="D25" s="89"/>
      <c r="E25" s="89"/>
      <c r="F25" s="89" t="s">
        <v>57</v>
      </c>
      <c r="G25" s="89"/>
      <c r="H25" s="89"/>
      <c r="I25" s="89"/>
      <c r="J25" s="89"/>
      <c r="K25" s="89"/>
      <c r="L25" s="89"/>
      <c r="M25" s="89"/>
      <c r="N25" s="53">
        <v>0.08</v>
      </c>
      <c r="O25" s="89">
        <v>1</v>
      </c>
      <c r="P25" s="89"/>
      <c r="Q25" s="90">
        <v>2918</v>
      </c>
      <c r="R25" s="90"/>
      <c r="S25" s="90"/>
      <c r="T25" s="90"/>
    </row>
    <row r="26" spans="2:20" ht="15" customHeight="1">
      <c r="B26" s="88">
        <v>46217</v>
      </c>
      <c r="C26" s="89"/>
      <c r="D26" s="89"/>
      <c r="E26" s="89"/>
      <c r="F26" s="89" t="s">
        <v>57</v>
      </c>
      <c r="G26" s="89"/>
      <c r="H26" s="89"/>
      <c r="I26" s="89"/>
      <c r="J26" s="89"/>
      <c r="K26" s="89"/>
      <c r="L26" s="89"/>
      <c r="M26" s="89"/>
      <c r="N26" s="53">
        <v>0.08</v>
      </c>
      <c r="O26" s="89">
        <v>1</v>
      </c>
      <c r="P26" s="89"/>
      <c r="Q26" s="90">
        <v>4016</v>
      </c>
      <c r="R26" s="90"/>
      <c r="S26" s="90"/>
      <c r="T26" s="90"/>
    </row>
    <row r="27" spans="2:20" ht="15" customHeight="1">
      <c r="B27" s="88">
        <v>46219</v>
      </c>
      <c r="C27" s="89"/>
      <c r="D27" s="89"/>
      <c r="E27" s="89"/>
      <c r="F27" s="89" t="s">
        <v>57</v>
      </c>
      <c r="G27" s="89"/>
      <c r="H27" s="89"/>
      <c r="I27" s="89"/>
      <c r="J27" s="89"/>
      <c r="K27" s="89"/>
      <c r="L27" s="89"/>
      <c r="M27" s="89"/>
      <c r="N27" s="53">
        <v>0.08</v>
      </c>
      <c r="O27" s="89">
        <v>1</v>
      </c>
      <c r="P27" s="89"/>
      <c r="Q27" s="90">
        <v>2645</v>
      </c>
      <c r="R27" s="90"/>
      <c r="S27" s="90"/>
      <c r="T27" s="90"/>
    </row>
    <row r="28" spans="2:20" ht="15" customHeight="1">
      <c r="B28" s="88">
        <v>46221</v>
      </c>
      <c r="C28" s="89"/>
      <c r="D28" s="89"/>
      <c r="E28" s="89"/>
      <c r="F28" s="89" t="s">
        <v>57</v>
      </c>
      <c r="G28" s="89"/>
      <c r="H28" s="89"/>
      <c r="I28" s="89"/>
      <c r="J28" s="89"/>
      <c r="K28" s="89"/>
      <c r="L28" s="89"/>
      <c r="M28" s="89"/>
      <c r="N28" s="53">
        <v>0.08</v>
      </c>
      <c r="O28" s="89">
        <v>1</v>
      </c>
      <c r="P28" s="89"/>
      <c r="Q28" s="90">
        <v>3558</v>
      </c>
      <c r="R28" s="90"/>
      <c r="S28" s="90"/>
      <c r="T28" s="90"/>
    </row>
    <row r="29" spans="2:20" ht="15" customHeight="1">
      <c r="B29" s="88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53"/>
      <c r="O29" s="89"/>
      <c r="P29" s="89"/>
      <c r="Q29" s="90"/>
      <c r="R29" s="90"/>
      <c r="S29" s="90"/>
      <c r="T29" s="90"/>
    </row>
    <row r="30" spans="2:20" ht="15" customHeight="1">
      <c r="B30" s="88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53"/>
      <c r="O30" s="89"/>
      <c r="P30" s="89"/>
      <c r="Q30" s="90"/>
      <c r="R30" s="90"/>
      <c r="S30" s="90"/>
      <c r="T30" s="90"/>
    </row>
    <row r="31" spans="2:20" ht="15" customHeight="1">
      <c r="B31" s="88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53"/>
      <c r="O31" s="89"/>
      <c r="P31" s="89"/>
      <c r="Q31" s="90"/>
      <c r="R31" s="90"/>
      <c r="S31" s="90"/>
      <c r="T31" s="90"/>
    </row>
    <row r="32" spans="2:20" ht="15" customHeight="1">
      <c r="B32" s="88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53"/>
      <c r="O32" s="89"/>
      <c r="P32" s="89"/>
      <c r="Q32" s="90"/>
      <c r="R32" s="90"/>
      <c r="S32" s="90"/>
      <c r="T32" s="90"/>
    </row>
    <row r="33" spans="1:20" ht="15" customHeight="1">
      <c r="B33" s="88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53"/>
      <c r="O33" s="89"/>
      <c r="P33" s="89"/>
      <c r="Q33" s="90"/>
      <c r="R33" s="90"/>
      <c r="S33" s="90"/>
      <c r="T33" s="90"/>
    </row>
    <row r="34" spans="1:20" ht="19.5" thickBot="1">
      <c r="B34" s="88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53"/>
      <c r="O34" s="89"/>
      <c r="P34" s="89"/>
      <c r="Q34" s="91"/>
      <c r="R34" s="91"/>
      <c r="S34" s="91"/>
      <c r="T34" s="91"/>
    </row>
    <row r="35" spans="1:20" ht="15" customHeight="1">
      <c r="K35" s="54"/>
      <c r="L35" s="54"/>
      <c r="M35" s="54"/>
      <c r="N35" s="54"/>
      <c r="O35" s="76" t="s">
        <v>58</v>
      </c>
      <c r="P35" s="77"/>
      <c r="Q35" s="78">
        <f>SUM(Q17:T34)</f>
        <v>42065</v>
      </c>
      <c r="R35" s="79"/>
      <c r="S35" s="79"/>
      <c r="T35" s="80"/>
    </row>
    <row r="36" spans="1:20" ht="19.5" thickBot="1">
      <c r="A36" s="81" t="s">
        <v>59</v>
      </c>
      <c r="B36" s="82"/>
      <c r="C36" s="82"/>
      <c r="D36" s="83"/>
      <c r="E36" s="81" t="s">
        <v>60</v>
      </c>
      <c r="F36" s="82"/>
      <c r="G36" s="83"/>
      <c r="H36" s="81" t="s">
        <v>61</v>
      </c>
      <c r="I36" s="82"/>
      <c r="J36" s="83"/>
      <c r="K36" s="55"/>
      <c r="L36" s="55"/>
      <c r="M36" s="55"/>
      <c r="N36" s="55"/>
      <c r="O36" s="84" t="s">
        <v>62</v>
      </c>
      <c r="P36" s="85"/>
      <c r="Q36" s="86">
        <f>E37+E38</f>
        <v>3365.2000000000044</v>
      </c>
      <c r="R36" s="86"/>
      <c r="S36" s="86"/>
      <c r="T36" s="87"/>
    </row>
    <row r="37" spans="1:20" ht="15" customHeight="1">
      <c r="A37" s="67" t="s">
        <v>63</v>
      </c>
      <c r="B37" s="68"/>
      <c r="C37" s="68"/>
      <c r="D37" s="69"/>
      <c r="E37" s="70">
        <f>H37*1.08-H37</f>
        <v>3365.2000000000044</v>
      </c>
      <c r="F37" s="71"/>
      <c r="G37" s="72"/>
      <c r="H37" s="73">
        <f>Q35</f>
        <v>42065</v>
      </c>
      <c r="I37" s="74"/>
      <c r="J37" s="75"/>
      <c r="K37" s="55"/>
      <c r="L37" s="55"/>
      <c r="M37" s="55"/>
      <c r="N37" s="55"/>
    </row>
    <row r="38" spans="1:20" ht="15" customHeight="1">
      <c r="A38" s="67"/>
      <c r="B38" s="68"/>
      <c r="C38" s="68"/>
      <c r="D38" s="69"/>
      <c r="E38" s="70"/>
      <c r="F38" s="71"/>
      <c r="G38" s="72"/>
      <c r="H38" s="73"/>
      <c r="I38" s="74"/>
      <c r="J38" s="75"/>
      <c r="K38" s="56"/>
      <c r="L38" s="55"/>
      <c r="M38" s="55"/>
      <c r="N38" s="55"/>
    </row>
    <row r="39" spans="1:20" ht="1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5"/>
      <c r="L39" s="55"/>
      <c r="M39" s="55"/>
      <c r="N39" s="55"/>
    </row>
    <row r="40" spans="1:20">
      <c r="A40" s="59" t="s">
        <v>64</v>
      </c>
      <c r="B40" s="60"/>
      <c r="C40" s="60"/>
      <c r="D40" s="60"/>
      <c r="E40" s="60"/>
      <c r="F40" s="60"/>
      <c r="G40" s="60"/>
      <c r="H40" s="60"/>
      <c r="I40" s="60"/>
      <c r="J40" s="60"/>
      <c r="K40" s="54"/>
      <c r="L40" s="54"/>
      <c r="M40" s="54"/>
      <c r="N40" s="54"/>
      <c r="O40" s="60"/>
      <c r="P40" s="60"/>
      <c r="Q40" s="60"/>
      <c r="R40" s="60"/>
      <c r="S40" s="60"/>
      <c r="T40" s="61"/>
    </row>
    <row r="41" spans="1:20">
      <c r="A41" s="56"/>
      <c r="B41" s="55"/>
      <c r="C41" s="55"/>
      <c r="D41" s="55"/>
      <c r="E41" s="55"/>
      <c r="F41" s="55"/>
      <c r="G41" s="55"/>
      <c r="H41" s="55"/>
      <c r="I41" s="55"/>
      <c r="J41" s="55"/>
      <c r="O41" s="55"/>
      <c r="P41" s="55"/>
      <c r="Q41" s="55"/>
      <c r="R41" s="55"/>
      <c r="S41" s="55"/>
      <c r="T41" s="62"/>
    </row>
    <row r="42" spans="1:20">
      <c r="A42" s="63"/>
      <c r="B42" s="64"/>
      <c r="C42" s="64"/>
      <c r="D42" s="64"/>
      <c r="E42" s="64"/>
      <c r="F42" s="64"/>
      <c r="G42" s="64"/>
      <c r="H42" s="64"/>
      <c r="I42" s="64"/>
      <c r="J42" s="64"/>
      <c r="K42" s="65"/>
      <c r="L42" s="65"/>
      <c r="M42" s="65"/>
      <c r="N42" s="65"/>
      <c r="O42" s="64"/>
      <c r="P42" s="64"/>
      <c r="Q42" s="64"/>
      <c r="R42" s="64"/>
      <c r="S42" s="64"/>
      <c r="T42" s="66"/>
    </row>
  </sheetData>
  <mergeCells count="98">
    <mergeCell ref="B8:K9"/>
    <mergeCell ref="A1:T1"/>
    <mergeCell ref="N2:O2"/>
    <mergeCell ref="B3:I4"/>
    <mergeCell ref="M3:N3"/>
    <mergeCell ref="B7:K7"/>
    <mergeCell ref="B18:E18"/>
    <mergeCell ref="F18:M18"/>
    <mergeCell ref="O18:P18"/>
    <mergeCell ref="Q18:T18"/>
    <mergeCell ref="B11:E12"/>
    <mergeCell ref="B13:E13"/>
    <mergeCell ref="F13:M13"/>
    <mergeCell ref="B16:E16"/>
    <mergeCell ref="F16:M16"/>
    <mergeCell ref="O16:P16"/>
    <mergeCell ref="Q16:T16"/>
    <mergeCell ref="B17:E17"/>
    <mergeCell ref="F17:M17"/>
    <mergeCell ref="O17:P17"/>
    <mergeCell ref="Q17:T17"/>
    <mergeCell ref="B19:E19"/>
    <mergeCell ref="F19:M19"/>
    <mergeCell ref="O19:P19"/>
    <mergeCell ref="Q19:T19"/>
    <mergeCell ref="B20:E20"/>
    <mergeCell ref="F20:M20"/>
    <mergeCell ref="O20:P20"/>
    <mergeCell ref="Q20:T20"/>
    <mergeCell ref="B21:E21"/>
    <mergeCell ref="F21:M21"/>
    <mergeCell ref="O21:P21"/>
    <mergeCell ref="Q21:T21"/>
    <mergeCell ref="B22:E22"/>
    <mergeCell ref="F22:M22"/>
    <mergeCell ref="O22:P22"/>
    <mergeCell ref="Q22:T22"/>
    <mergeCell ref="B23:E23"/>
    <mergeCell ref="F23:M23"/>
    <mergeCell ref="O23:P23"/>
    <mergeCell ref="Q23:T23"/>
    <mergeCell ref="B24:E24"/>
    <mergeCell ref="F24:M24"/>
    <mergeCell ref="O24:P24"/>
    <mergeCell ref="Q24:T24"/>
    <mergeCell ref="B25:E25"/>
    <mergeCell ref="F25:M25"/>
    <mergeCell ref="O25:P25"/>
    <mergeCell ref="Q25:T25"/>
    <mergeCell ref="B26:E26"/>
    <mergeCell ref="F26:M26"/>
    <mergeCell ref="O26:P26"/>
    <mergeCell ref="Q26:T26"/>
    <mergeCell ref="B27:E27"/>
    <mergeCell ref="F27:M27"/>
    <mergeCell ref="O27:P27"/>
    <mergeCell ref="Q27:T27"/>
    <mergeCell ref="B28:E28"/>
    <mergeCell ref="F28:M28"/>
    <mergeCell ref="O28:P28"/>
    <mergeCell ref="Q28:T28"/>
    <mergeCell ref="B29:E29"/>
    <mergeCell ref="F29:M29"/>
    <mergeCell ref="O29:P29"/>
    <mergeCell ref="Q29:T29"/>
    <mergeCell ref="B30:E30"/>
    <mergeCell ref="F30:M30"/>
    <mergeCell ref="O30:P30"/>
    <mergeCell ref="Q30:T30"/>
    <mergeCell ref="B31:E31"/>
    <mergeCell ref="F31:M31"/>
    <mergeCell ref="O31:P31"/>
    <mergeCell ref="Q31:T31"/>
    <mergeCell ref="B32:E32"/>
    <mergeCell ref="F32:M32"/>
    <mergeCell ref="O32:P32"/>
    <mergeCell ref="Q32:T32"/>
    <mergeCell ref="B33:E33"/>
    <mergeCell ref="F33:M33"/>
    <mergeCell ref="O33:P33"/>
    <mergeCell ref="Q33:T33"/>
    <mergeCell ref="B34:E34"/>
    <mergeCell ref="F34:M34"/>
    <mergeCell ref="O34:P34"/>
    <mergeCell ref="Q34:T34"/>
    <mergeCell ref="O35:P35"/>
    <mergeCell ref="Q35:T35"/>
    <mergeCell ref="A36:D36"/>
    <mergeCell ref="E36:G36"/>
    <mergeCell ref="H36:J36"/>
    <mergeCell ref="O36:P36"/>
    <mergeCell ref="Q36:T36"/>
    <mergeCell ref="A37:D37"/>
    <mergeCell ref="E37:G37"/>
    <mergeCell ref="H37:J37"/>
    <mergeCell ref="A38:D38"/>
    <mergeCell ref="E38:G38"/>
    <mergeCell ref="H38:J38"/>
  </mergeCells>
  <phoneticPr fontId="3"/>
  <hyperlinks>
    <hyperlink ref="N8" r:id="rId1" xr:uid="{B570C9EE-FF6B-429C-A4F0-49B506BDBDD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2025年11月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芳郎 我妻</cp:lastModifiedBy>
  <cp:lastPrinted>2026-07-23T10:52:44Z</cp:lastPrinted>
  <dcterms:created xsi:type="dcterms:W3CDTF">2015-06-05T18:19:34Z</dcterms:created>
  <dcterms:modified xsi:type="dcterms:W3CDTF">2026-07-23T10:53:40Z</dcterms:modified>
</cp:coreProperties>
</file>