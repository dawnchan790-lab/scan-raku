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高野原）\納品書\高野原様2026年5月21日～6月20日\"/>
    </mc:Choice>
  </mc:AlternateContent>
  <xr:revisionPtr revIDLastSave="0" documentId="13_ncr:1_{62C3BF09-ABC4-4FE2-9C3C-B00ED38B100F}" xr6:coauthVersionLast="47" xr6:coauthVersionMax="47" xr10:uidLastSave="{00000000-0000-0000-0000-000000000000}"/>
  <bookViews>
    <workbookView xWindow="3825" yWindow="360" windowWidth="22620" windowHeight="15075" activeTab="2" xr2:uid="{00000000-000D-0000-FFFF-FFFF00000000}"/>
  </bookViews>
  <sheets>
    <sheet name="印刷・FAX　発注書" sheetId="12" r:id="rId1"/>
    <sheet name="入力　発注書" sheetId="2" r:id="rId2"/>
    <sheet name="仙台高野原店" sheetId="4" r:id="rId3"/>
    <sheet name="栗生4丁目店" sheetId="7" r:id="rId4"/>
    <sheet name="AA" sheetId="8" r:id="rId5"/>
    <sheet name="BB" sheetId="9" r:id="rId6"/>
    <sheet name="A" sheetId="10" r:id="rId7"/>
    <sheet name="B" sheetId="11" r:id="rId8"/>
    <sheet name="仙台上愛子店" sheetId="3" r:id="rId9"/>
    <sheet name="Sheet1" sheetId="1" r:id="rId10"/>
  </sheets>
  <definedNames>
    <definedName name="_xlnm._FilterDatabase" localSheetId="6" hidden="1">A!$A$13:$G$73</definedName>
    <definedName name="_xlnm._FilterDatabase" localSheetId="4" hidden="1">AA!$A$13:$G$74</definedName>
    <definedName name="_xlnm._FilterDatabase" localSheetId="7" hidden="1">B!$A$13:$G$74</definedName>
    <definedName name="_xlnm._FilterDatabase" localSheetId="5" hidden="1">BB!$A$13:$G$74</definedName>
    <definedName name="_xlnm._FilterDatabase" localSheetId="3" hidden="1">栗生4丁目店!$A$13:$G$74</definedName>
    <definedName name="_xlnm._FilterDatabase" localSheetId="2" hidden="1">仙台高野原店!$A$13:$G$74</definedName>
    <definedName name="_xlnm._FilterDatabase" localSheetId="8" hidden="1">仙台上愛子店!$A$13:$G$74</definedName>
    <definedName name="_xlnm.Print_Area" localSheetId="8">仙台上愛子店!$A$1:$G$74</definedName>
    <definedName name="_xlnm.Print_Area" localSheetId="1">'入力　発注書'!$A$8:$AD$71</definedName>
    <definedName name="_xlnm.Print_Titles" localSheetId="0">'印刷・FAX　発注書'!$9:$12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12" l="1"/>
  <c r="I51" i="12" s="1"/>
  <c r="D53" i="7" s="1"/>
  <c r="D24" i="8"/>
  <c r="I21" i="12"/>
  <c r="I23" i="12"/>
  <c r="K20" i="12"/>
  <c r="I50" i="12"/>
  <c r="C16" i="7"/>
  <c r="E16" i="7"/>
  <c r="C16" i="4"/>
  <c r="B15" i="2"/>
  <c r="B16" i="7" s="1"/>
  <c r="C15" i="2"/>
  <c r="D15" i="2"/>
  <c r="E15" i="2"/>
  <c r="F15" i="2"/>
  <c r="G15" i="2"/>
  <c r="H15" i="2"/>
  <c r="I15" i="2" s="1"/>
  <c r="K15" i="2"/>
  <c r="L15" i="2"/>
  <c r="M15" i="2"/>
  <c r="O15" i="2" s="1"/>
  <c r="I48" i="12"/>
  <c r="D50" i="10" s="1"/>
  <c r="H49" i="2"/>
  <c r="H50" i="2"/>
  <c r="H51" i="2"/>
  <c r="H52" i="2"/>
  <c r="H53" i="2"/>
  <c r="H54" i="2"/>
  <c r="H55" i="2"/>
  <c r="H56" i="2"/>
  <c r="I56" i="2" s="1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B56" i="2"/>
  <c r="C56" i="2"/>
  <c r="D56" i="2"/>
  <c r="E56" i="2"/>
  <c r="F56" i="2"/>
  <c r="G56" i="2"/>
  <c r="B57" i="2"/>
  <c r="C57" i="2"/>
  <c r="D57" i="2"/>
  <c r="E57" i="2"/>
  <c r="F57" i="2"/>
  <c r="G57" i="2"/>
  <c r="H57" i="2"/>
  <c r="B58" i="2"/>
  <c r="C58" i="2"/>
  <c r="D58" i="2"/>
  <c r="E58" i="2"/>
  <c r="F58" i="2"/>
  <c r="G58" i="2"/>
  <c r="H58" i="2"/>
  <c r="I58" i="2" s="1"/>
  <c r="B59" i="2"/>
  <c r="C59" i="2"/>
  <c r="D59" i="2"/>
  <c r="E59" i="2"/>
  <c r="F59" i="2"/>
  <c r="G59" i="2"/>
  <c r="H59" i="2"/>
  <c r="I59" i="2" s="1"/>
  <c r="B60" i="2"/>
  <c r="C60" i="2"/>
  <c r="D60" i="2"/>
  <c r="E60" i="2"/>
  <c r="F60" i="2"/>
  <c r="G60" i="2"/>
  <c r="H60" i="2"/>
  <c r="I60" i="2" s="1"/>
  <c r="B61" i="2"/>
  <c r="C61" i="2"/>
  <c r="D61" i="2"/>
  <c r="E61" i="2"/>
  <c r="F61" i="2"/>
  <c r="G61" i="2"/>
  <c r="H61" i="2"/>
  <c r="I61" i="2" s="1"/>
  <c r="B62" i="2"/>
  <c r="C62" i="2"/>
  <c r="D62" i="2"/>
  <c r="E62" i="2"/>
  <c r="F62" i="2"/>
  <c r="G62" i="2"/>
  <c r="H62" i="2"/>
  <c r="I62" i="2" s="1"/>
  <c r="B55" i="2"/>
  <c r="G71" i="10"/>
  <c r="G73" i="10"/>
  <c r="E71" i="10"/>
  <c r="D59" i="10"/>
  <c r="D66" i="10"/>
  <c r="D67" i="10"/>
  <c r="D68" i="10"/>
  <c r="D69" i="10"/>
  <c r="D70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G71" i="9"/>
  <c r="G73" i="9" s="1"/>
  <c r="E71" i="9"/>
  <c r="D60" i="9"/>
  <c r="D66" i="9"/>
  <c r="D67" i="9"/>
  <c r="D68" i="9"/>
  <c r="D69" i="9"/>
  <c r="D70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E71" i="8"/>
  <c r="D60" i="8"/>
  <c r="D66" i="8"/>
  <c r="D67" i="8"/>
  <c r="D68" i="8"/>
  <c r="D69" i="8"/>
  <c r="D70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E71" i="7"/>
  <c r="D35" i="7"/>
  <c r="D54" i="7"/>
  <c r="D62" i="7"/>
  <c r="D66" i="7"/>
  <c r="D67" i="7"/>
  <c r="D68" i="7"/>
  <c r="D69" i="7"/>
  <c r="D70" i="7"/>
  <c r="C15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D57" i="4"/>
  <c r="D65" i="4"/>
  <c r="D66" i="4"/>
  <c r="D67" i="4"/>
  <c r="D68" i="4"/>
  <c r="D69" i="4"/>
  <c r="D70" i="4"/>
  <c r="C15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M14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66" i="2"/>
  <c r="L14" i="2"/>
  <c r="L16" i="2"/>
  <c r="L17" i="2"/>
  <c r="K17" i="2" s="1"/>
  <c r="L18" i="2"/>
  <c r="L19" i="2"/>
  <c r="K19" i="2" s="1"/>
  <c r="L20" i="2"/>
  <c r="L21" i="2"/>
  <c r="L22" i="2"/>
  <c r="L23" i="2"/>
  <c r="K23" i="2" s="1"/>
  <c r="L24" i="2"/>
  <c r="L25" i="2"/>
  <c r="K25" i="2" s="1"/>
  <c r="L26" i="2"/>
  <c r="L27" i="2"/>
  <c r="K27" i="2" s="1"/>
  <c r="L28" i="2"/>
  <c r="L29" i="2"/>
  <c r="L30" i="2"/>
  <c r="L31" i="2"/>
  <c r="L32" i="2"/>
  <c r="L33" i="2"/>
  <c r="K33" i="2" s="1"/>
  <c r="L34" i="2"/>
  <c r="L35" i="2"/>
  <c r="L36" i="2"/>
  <c r="L37" i="2"/>
  <c r="L38" i="2"/>
  <c r="L39" i="2"/>
  <c r="L40" i="2"/>
  <c r="L41" i="2"/>
  <c r="K41" i="2" s="1"/>
  <c r="L42" i="2"/>
  <c r="L43" i="2"/>
  <c r="L44" i="2"/>
  <c r="L45" i="2"/>
  <c r="L46" i="2"/>
  <c r="L47" i="2"/>
  <c r="L48" i="2"/>
  <c r="L49" i="2"/>
  <c r="K49" i="2" s="1"/>
  <c r="L50" i="2"/>
  <c r="L51" i="2"/>
  <c r="L52" i="2"/>
  <c r="L53" i="2"/>
  <c r="K53" i="2" s="1"/>
  <c r="I53" i="2" s="1"/>
  <c r="L54" i="2"/>
  <c r="K54" i="2" s="1"/>
  <c r="L55" i="2"/>
  <c r="K55" i="2" s="1"/>
  <c r="L56" i="2"/>
  <c r="K56" i="2" s="1"/>
  <c r="L57" i="2"/>
  <c r="K57" i="2" s="1"/>
  <c r="L58" i="2"/>
  <c r="L59" i="2"/>
  <c r="L60" i="2"/>
  <c r="L61" i="2"/>
  <c r="L62" i="2"/>
  <c r="K62" i="2" s="1"/>
  <c r="L63" i="2"/>
  <c r="K63" i="2" s="1"/>
  <c r="L64" i="2"/>
  <c r="L66" i="2"/>
  <c r="K66" i="2" s="1"/>
  <c r="I66" i="2" s="1"/>
  <c r="L67" i="2"/>
  <c r="L68" i="2"/>
  <c r="L69" i="2"/>
  <c r="K69" i="2" s="1"/>
  <c r="K14" i="2"/>
  <c r="K16" i="2"/>
  <c r="K18" i="2"/>
  <c r="K20" i="2"/>
  <c r="K21" i="2"/>
  <c r="K22" i="2"/>
  <c r="K24" i="2"/>
  <c r="K26" i="2"/>
  <c r="K28" i="2"/>
  <c r="K29" i="2"/>
  <c r="K30" i="2"/>
  <c r="K31" i="2"/>
  <c r="K32" i="2"/>
  <c r="K34" i="2"/>
  <c r="K35" i="2"/>
  <c r="K36" i="2"/>
  <c r="K37" i="2"/>
  <c r="K38" i="2"/>
  <c r="K39" i="2"/>
  <c r="K40" i="2"/>
  <c r="K42" i="2"/>
  <c r="K43" i="2"/>
  <c r="K44" i="2"/>
  <c r="I44" i="2" s="1"/>
  <c r="K45" i="2"/>
  <c r="K46" i="2"/>
  <c r="K47" i="2"/>
  <c r="K48" i="2"/>
  <c r="K50" i="2"/>
  <c r="K51" i="2"/>
  <c r="K52" i="2"/>
  <c r="K58" i="2"/>
  <c r="K59" i="2"/>
  <c r="K60" i="2"/>
  <c r="K61" i="2"/>
  <c r="K64" i="2"/>
  <c r="K67" i="2"/>
  <c r="K68" i="2"/>
  <c r="H14" i="2"/>
  <c r="I14" i="2" s="1"/>
  <c r="H16" i="2"/>
  <c r="I16" i="2" s="1"/>
  <c r="H17" i="2"/>
  <c r="H18" i="2"/>
  <c r="H19" i="2"/>
  <c r="H20" i="2"/>
  <c r="I20" i="2" s="1"/>
  <c r="H21" i="2"/>
  <c r="H22" i="2"/>
  <c r="I22" i="2" s="1"/>
  <c r="H23" i="2"/>
  <c r="H24" i="2"/>
  <c r="I24" i="2" s="1"/>
  <c r="H25" i="2"/>
  <c r="H26" i="2"/>
  <c r="H27" i="2"/>
  <c r="H28" i="2"/>
  <c r="H29" i="2"/>
  <c r="H30" i="2"/>
  <c r="I30" i="2" s="1"/>
  <c r="H31" i="2"/>
  <c r="I31" i="2" s="1"/>
  <c r="H32" i="2"/>
  <c r="I32" i="2" s="1"/>
  <c r="H33" i="2"/>
  <c r="H34" i="2"/>
  <c r="H35" i="2"/>
  <c r="H36" i="2"/>
  <c r="I36" i="2" s="1"/>
  <c r="H37" i="2"/>
  <c r="H38" i="2"/>
  <c r="I38" i="2" s="1"/>
  <c r="H39" i="2"/>
  <c r="I39" i="2" s="1"/>
  <c r="H40" i="2"/>
  <c r="I40" i="2" s="1"/>
  <c r="H41" i="2"/>
  <c r="H42" i="2"/>
  <c r="H43" i="2"/>
  <c r="H44" i="2"/>
  <c r="H45" i="2"/>
  <c r="H46" i="2"/>
  <c r="I46" i="2" s="1"/>
  <c r="H47" i="2"/>
  <c r="I47" i="2" s="1"/>
  <c r="H48" i="2"/>
  <c r="I48" i="2" s="1"/>
  <c r="H63" i="2"/>
  <c r="I63" i="2" s="1"/>
  <c r="H64" i="2"/>
  <c r="I64" i="2" s="1"/>
  <c r="H65" i="2"/>
  <c r="H66" i="2"/>
  <c r="H67" i="2"/>
  <c r="H68" i="2"/>
  <c r="I68" i="2" s="1"/>
  <c r="H69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63" i="2"/>
  <c r="G64" i="2"/>
  <c r="G65" i="2"/>
  <c r="G66" i="2"/>
  <c r="G67" i="2"/>
  <c r="G68" i="2"/>
  <c r="G69" i="2"/>
  <c r="F14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63" i="2"/>
  <c r="F64" i="2"/>
  <c r="F65" i="2"/>
  <c r="F66" i="2"/>
  <c r="F67" i="2"/>
  <c r="F68" i="2"/>
  <c r="F69" i="2"/>
  <c r="E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63" i="2"/>
  <c r="E64" i="2"/>
  <c r="E65" i="2"/>
  <c r="E66" i="2"/>
  <c r="E67" i="2"/>
  <c r="E68" i="2"/>
  <c r="E69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O64" i="12"/>
  <c r="N64" i="12"/>
  <c r="L65" i="2"/>
  <c r="K65" i="2" s="1"/>
  <c r="I65" i="2" s="1"/>
  <c r="K63" i="12"/>
  <c r="I63" i="12" s="1"/>
  <c r="D65" i="7" s="1"/>
  <c r="K62" i="12"/>
  <c r="I62" i="12" s="1"/>
  <c r="D64" i="4" s="1"/>
  <c r="K61" i="12"/>
  <c r="I61" i="12" s="1"/>
  <c r="D63" i="7" s="1"/>
  <c r="K60" i="12"/>
  <c r="I60" i="12" s="1"/>
  <c r="D62" i="9" s="1"/>
  <c r="K59" i="12"/>
  <c r="I59" i="12" s="1"/>
  <c r="D61" i="7" s="1"/>
  <c r="K58" i="12"/>
  <c r="I58" i="12" s="1"/>
  <c r="D60" i="10" s="1"/>
  <c r="K57" i="12"/>
  <c r="I57" i="12" s="1"/>
  <c r="D59" i="9" s="1"/>
  <c r="K56" i="12"/>
  <c r="I56" i="12" s="1"/>
  <c r="D58" i="10" s="1"/>
  <c r="K55" i="12"/>
  <c r="I55" i="12" s="1"/>
  <c r="D57" i="7" s="1"/>
  <c r="K54" i="12"/>
  <c r="I54" i="12" s="1"/>
  <c r="D56" i="4" s="1"/>
  <c r="K53" i="12"/>
  <c r="I53" i="12" s="1"/>
  <c r="D55" i="7" s="1"/>
  <c r="K52" i="12"/>
  <c r="I52" i="12" s="1"/>
  <c r="D54" i="9" s="1"/>
  <c r="K50" i="12"/>
  <c r="K49" i="12"/>
  <c r="I49" i="12" s="1"/>
  <c r="D51" i="10" s="1"/>
  <c r="K48" i="12"/>
  <c r="K47" i="12"/>
  <c r="K46" i="12"/>
  <c r="I46" i="12" s="1"/>
  <c r="D48" i="10" s="1"/>
  <c r="K45" i="12"/>
  <c r="I45" i="12" s="1"/>
  <c r="D47" i="9" s="1"/>
  <c r="K44" i="12"/>
  <c r="I44" i="12" s="1"/>
  <c r="D46" i="10" s="1"/>
  <c r="K43" i="12"/>
  <c r="I43" i="12" s="1"/>
  <c r="D45" i="10" s="1"/>
  <c r="K42" i="12"/>
  <c r="I42" i="12" s="1"/>
  <c r="D44" i="7" s="1"/>
  <c r="K41" i="12"/>
  <c r="I41" i="12" s="1"/>
  <c r="D43" i="4" s="1"/>
  <c r="K40" i="12"/>
  <c r="I40" i="12" s="1"/>
  <c r="D42" i="9" s="1"/>
  <c r="K39" i="12"/>
  <c r="I39" i="12" s="1"/>
  <c r="D41" i="10" s="1"/>
  <c r="K38" i="12"/>
  <c r="I38" i="12" s="1"/>
  <c r="D40" i="10" s="1"/>
  <c r="K37" i="12"/>
  <c r="I37" i="12" s="1"/>
  <c r="D39" i="4" s="1"/>
  <c r="K36" i="12"/>
  <c r="I36" i="12" s="1"/>
  <c r="D38" i="10" s="1"/>
  <c r="K35" i="12"/>
  <c r="I35" i="12" s="1"/>
  <c r="D37" i="7" s="1"/>
  <c r="K34" i="12"/>
  <c r="I34" i="12" s="1"/>
  <c r="D36" i="10" s="1"/>
  <c r="K33" i="12"/>
  <c r="I33" i="12" s="1"/>
  <c r="D35" i="9" s="1"/>
  <c r="K32" i="12"/>
  <c r="I32" i="12" s="1"/>
  <c r="D34" i="7" s="1"/>
  <c r="K31" i="12"/>
  <c r="I31" i="12" s="1"/>
  <c r="D33" i="9" s="1"/>
  <c r="K30" i="12"/>
  <c r="I30" i="12" s="1"/>
  <c r="D32" i="7" s="1"/>
  <c r="K29" i="12"/>
  <c r="I29" i="12" s="1"/>
  <c r="D31" i="9" s="1"/>
  <c r="K28" i="12"/>
  <c r="I28" i="12" s="1"/>
  <c r="D30" i="8" s="1"/>
  <c r="K27" i="12"/>
  <c r="I27" i="12" s="1"/>
  <c r="D29" i="8" s="1"/>
  <c r="K26" i="12"/>
  <c r="I26" i="12" s="1"/>
  <c r="D28" i="4" s="1"/>
  <c r="K25" i="12"/>
  <c r="I25" i="12" s="1"/>
  <c r="D27" i="9" s="1"/>
  <c r="K24" i="12"/>
  <c r="I24" i="12" s="1"/>
  <c r="D26" i="9" s="1"/>
  <c r="K23" i="12"/>
  <c r="D25" i="10" s="1"/>
  <c r="K21" i="12"/>
  <c r="D23" i="10" s="1"/>
  <c r="K19" i="12"/>
  <c r="I19" i="12" s="1"/>
  <c r="D21" i="9" s="1"/>
  <c r="K18" i="12"/>
  <c r="I18" i="12" s="1"/>
  <c r="D20" i="4" s="1"/>
  <c r="K17" i="12"/>
  <c r="D19" i="7" s="1"/>
  <c r="K16" i="12"/>
  <c r="I16" i="12" s="1"/>
  <c r="D18" i="9" s="1"/>
  <c r="K15" i="12"/>
  <c r="I15" i="12" s="1"/>
  <c r="D17" i="8" s="1"/>
  <c r="K14" i="12"/>
  <c r="I14" i="12" s="1"/>
  <c r="D15" i="7" s="1"/>
  <c r="K13" i="12"/>
  <c r="I13" i="12" s="1"/>
  <c r="I49" i="2" l="1"/>
  <c r="D52" i="7"/>
  <c r="I50" i="2"/>
  <c r="I52" i="2"/>
  <c r="D22" i="9"/>
  <c r="D44" i="4"/>
  <c r="I23" i="2"/>
  <c r="I69" i="2"/>
  <c r="B16" i="4"/>
  <c r="D34" i="9"/>
  <c r="D33" i="8"/>
  <c r="D33" i="10"/>
  <c r="D16" i="4"/>
  <c r="F16" i="7"/>
  <c r="D16" i="7"/>
  <c r="G16" i="7" s="1"/>
  <c r="Q15" i="2"/>
  <c r="E16" i="4" s="1"/>
  <c r="F16" i="4" s="1"/>
  <c r="I33" i="2"/>
  <c r="I57" i="2"/>
  <c r="I42" i="2"/>
  <c r="I34" i="2"/>
  <c r="D63" i="4"/>
  <c r="D55" i="4"/>
  <c r="D37" i="4"/>
  <c r="D60" i="7"/>
  <c r="D50" i="7"/>
  <c r="D33" i="7"/>
  <c r="D58" i="8"/>
  <c r="D45" i="8"/>
  <c r="D20" i="8"/>
  <c r="D58" i="9"/>
  <c r="D45" i="9"/>
  <c r="D25" i="9"/>
  <c r="F17" i="10"/>
  <c r="D65" i="10"/>
  <c r="D57" i="10"/>
  <c r="D44" i="10"/>
  <c r="D20" i="10"/>
  <c r="I54" i="2"/>
  <c r="D47" i="10"/>
  <c r="D62" i="4"/>
  <c r="D54" i="4"/>
  <c r="D35" i="4"/>
  <c r="D59" i="7"/>
  <c r="D47" i="7"/>
  <c r="D25" i="7"/>
  <c r="D65" i="8"/>
  <c r="D57" i="8"/>
  <c r="D44" i="8"/>
  <c r="D65" i="9"/>
  <c r="D57" i="9"/>
  <c r="D44" i="9"/>
  <c r="D20" i="9"/>
  <c r="D64" i="10"/>
  <c r="D56" i="10"/>
  <c r="D43" i="10"/>
  <c r="I28" i="2"/>
  <c r="D61" i="4"/>
  <c r="D53" i="4"/>
  <c r="D34" i="4"/>
  <c r="D58" i="7"/>
  <c r="D45" i="7"/>
  <c r="D20" i="7"/>
  <c r="D64" i="8"/>
  <c r="D56" i="8"/>
  <c r="D43" i="8"/>
  <c r="D64" i="9"/>
  <c r="D56" i="9"/>
  <c r="D43" i="9"/>
  <c r="D63" i="10"/>
  <c r="D55" i="10"/>
  <c r="D42" i="10"/>
  <c r="G42" i="10" s="1"/>
  <c r="D60" i="4"/>
  <c r="D50" i="4"/>
  <c r="D33" i="4"/>
  <c r="D63" i="8"/>
  <c r="D55" i="8"/>
  <c r="D37" i="8"/>
  <c r="D63" i="9"/>
  <c r="D55" i="9"/>
  <c r="D37" i="9"/>
  <c r="D62" i="10"/>
  <c r="D54" i="10"/>
  <c r="D37" i="10"/>
  <c r="I19" i="2"/>
  <c r="D59" i="4"/>
  <c r="D47" i="4"/>
  <c r="D25" i="4"/>
  <c r="D64" i="7"/>
  <c r="D56" i="7"/>
  <c r="D43" i="7"/>
  <c r="D62" i="8"/>
  <c r="D54" i="8"/>
  <c r="D35" i="8"/>
  <c r="D36" i="9"/>
  <c r="D61" i="10"/>
  <c r="D53" i="10"/>
  <c r="D35" i="10"/>
  <c r="D50" i="8"/>
  <c r="D50" i="9"/>
  <c r="I41" i="2"/>
  <c r="I25" i="2"/>
  <c r="I17" i="2"/>
  <c r="D58" i="4"/>
  <c r="D45" i="4"/>
  <c r="D61" i="8"/>
  <c r="D53" i="8"/>
  <c r="D34" i="8"/>
  <c r="D61" i="9"/>
  <c r="D53" i="9"/>
  <c r="D34" i="10"/>
  <c r="I43" i="2"/>
  <c r="I35" i="2"/>
  <c r="D59" i="8"/>
  <c r="D47" i="8"/>
  <c r="D25" i="8"/>
  <c r="F19" i="9"/>
  <c r="F42" i="10"/>
  <c r="I55" i="2"/>
  <c r="I47" i="12"/>
  <c r="D49" i="10" s="1"/>
  <c r="G49" i="10" s="1"/>
  <c r="D42" i="4"/>
  <c r="D42" i="8"/>
  <c r="D42" i="7"/>
  <c r="D41" i="7"/>
  <c r="D41" i="8"/>
  <c r="D41" i="4"/>
  <c r="D41" i="9"/>
  <c r="D36" i="4"/>
  <c r="D36" i="7"/>
  <c r="D36" i="8"/>
  <c r="D52" i="10"/>
  <c r="D15" i="9"/>
  <c r="G15" i="9" s="1"/>
  <c r="D48" i="8"/>
  <c r="D51" i="9"/>
  <c r="D51" i="4"/>
  <c r="D51" i="7"/>
  <c r="D51" i="8"/>
  <c r="D32" i="9"/>
  <c r="D32" i="8"/>
  <c r="D32" i="4"/>
  <c r="D32" i="10"/>
  <c r="D24" i="7"/>
  <c r="D24" i="9"/>
  <c r="D24" i="10"/>
  <c r="D24" i="4"/>
  <c r="D48" i="4"/>
  <c r="D48" i="9"/>
  <c r="D48" i="7"/>
  <c r="D39" i="10"/>
  <c r="D39" i="8"/>
  <c r="D39" i="9"/>
  <c r="D39" i="7"/>
  <c r="D40" i="8"/>
  <c r="D40" i="7"/>
  <c r="D40" i="9"/>
  <c r="D40" i="4"/>
  <c r="D31" i="10"/>
  <c r="D31" i="7"/>
  <c r="D31" i="8"/>
  <c r="D31" i="4"/>
  <c r="D29" i="10"/>
  <c r="D29" i="4"/>
  <c r="D29" i="7"/>
  <c r="D29" i="9"/>
  <c r="D26" i="7"/>
  <c r="D52" i="8"/>
  <c r="I29" i="2"/>
  <c r="D30" i="4"/>
  <c r="D18" i="7"/>
  <c r="I37" i="2"/>
  <c r="D38" i="4"/>
  <c r="D38" i="9"/>
  <c r="D38" i="7"/>
  <c r="D38" i="8"/>
  <c r="D30" i="10"/>
  <c r="D30" i="7"/>
  <c r="D30" i="9"/>
  <c r="D16" i="8"/>
  <c r="D46" i="7"/>
  <c r="I45" i="2"/>
  <c r="D46" i="9"/>
  <c r="D46" i="4"/>
  <c r="D46" i="8"/>
  <c r="I27" i="2"/>
  <c r="D28" i="7"/>
  <c r="D28" i="9"/>
  <c r="G28" i="9" s="1"/>
  <c r="D27" i="8"/>
  <c r="D26" i="4"/>
  <c r="D26" i="10"/>
  <c r="D26" i="8"/>
  <c r="D23" i="8"/>
  <c r="D23" i="7"/>
  <c r="D23" i="9"/>
  <c r="D23" i="4"/>
  <c r="D22" i="4"/>
  <c r="D22" i="10"/>
  <c r="D21" i="10"/>
  <c r="D21" i="8"/>
  <c r="D21" i="4"/>
  <c r="D21" i="7"/>
  <c r="D17" i="7"/>
  <c r="D17" i="9"/>
  <c r="D17" i="4"/>
  <c r="D17" i="10"/>
  <c r="I51" i="2"/>
  <c r="D52" i="4"/>
  <c r="D52" i="9"/>
  <c r="D28" i="8"/>
  <c r="D28" i="10"/>
  <c r="D27" i="10"/>
  <c r="G27" i="10" s="1"/>
  <c r="D27" i="7"/>
  <c r="D27" i="4"/>
  <c r="I26" i="2"/>
  <c r="D22" i="7"/>
  <c r="I21" i="2"/>
  <c r="D22" i="8"/>
  <c r="D19" i="10"/>
  <c r="D19" i="4"/>
  <c r="D19" i="8"/>
  <c r="D19" i="9"/>
  <c r="I18" i="2"/>
  <c r="D18" i="4"/>
  <c r="D18" i="8"/>
  <c r="D18" i="10"/>
  <c r="D16" i="9"/>
  <c r="D16" i="10"/>
  <c r="D15" i="10"/>
  <c r="D15" i="8"/>
  <c r="D15" i="4"/>
  <c r="I67" i="2"/>
  <c r="F73" i="4"/>
  <c r="AA67" i="2"/>
  <c r="AA68" i="2"/>
  <c r="E69" i="11" s="1"/>
  <c r="AA69" i="2"/>
  <c r="E70" i="11" s="1"/>
  <c r="Y67" i="2"/>
  <c r="E68" i="10" s="1"/>
  <c r="Y68" i="2"/>
  <c r="E69" i="10" s="1"/>
  <c r="Y69" i="2"/>
  <c r="E70" i="10" s="1"/>
  <c r="W67" i="2"/>
  <c r="E68" i="9" s="1"/>
  <c r="W68" i="2"/>
  <c r="E69" i="9" s="1"/>
  <c r="W69" i="2"/>
  <c r="E70" i="9" s="1"/>
  <c r="U67" i="2"/>
  <c r="E68" i="8" s="1"/>
  <c r="U68" i="2"/>
  <c r="E69" i="8" s="1"/>
  <c r="U69" i="2"/>
  <c r="E70" i="8" s="1"/>
  <c r="S67" i="2"/>
  <c r="E68" i="7" s="1"/>
  <c r="S68" i="2"/>
  <c r="E69" i="7" s="1"/>
  <c r="S69" i="2"/>
  <c r="E70" i="7" s="1"/>
  <c r="Q67" i="2"/>
  <c r="E68" i="4" s="1"/>
  <c r="Q68" i="2"/>
  <c r="E69" i="4" s="1"/>
  <c r="Q69" i="2"/>
  <c r="E70" i="4" s="1"/>
  <c r="W56" i="2"/>
  <c r="E57" i="9" s="1"/>
  <c r="Y57" i="2"/>
  <c r="E58" i="10" s="1"/>
  <c r="W58" i="2"/>
  <c r="E59" i="9" s="1"/>
  <c r="AC59" i="2"/>
  <c r="U60" i="2"/>
  <c r="E61" i="8" s="1"/>
  <c r="U61" i="2"/>
  <c r="E62" i="8" s="1"/>
  <c r="S62" i="2"/>
  <c r="E63" i="7" s="1"/>
  <c r="AC63" i="2"/>
  <c r="Y64" i="2"/>
  <c r="E65" i="10" s="1"/>
  <c r="Y65" i="2"/>
  <c r="E66" i="10" s="1"/>
  <c r="W66" i="2"/>
  <c r="E67" i="9" s="1"/>
  <c r="L13" i="2"/>
  <c r="AC67" i="2"/>
  <c r="AC68" i="2"/>
  <c r="AC69" i="2"/>
  <c r="AC43" i="2"/>
  <c r="W44" i="2"/>
  <c r="E45" i="9" s="1"/>
  <c r="AA45" i="2"/>
  <c r="E46" i="11" s="1"/>
  <c r="AA46" i="2"/>
  <c r="E47" i="11" s="1"/>
  <c r="AA47" i="2"/>
  <c r="E48" i="11" s="1"/>
  <c r="Y48" i="2"/>
  <c r="E49" i="10" s="1"/>
  <c r="F49" i="10" s="1"/>
  <c r="Y49" i="2"/>
  <c r="E50" i="10" s="1"/>
  <c r="F50" i="10" s="1"/>
  <c r="Y50" i="2"/>
  <c r="E51" i="10" s="1"/>
  <c r="F51" i="10" s="1"/>
  <c r="AC51" i="2"/>
  <c r="W52" i="2"/>
  <c r="E53" i="9" s="1"/>
  <c r="AA53" i="2"/>
  <c r="E54" i="11" s="1"/>
  <c r="AA54" i="2"/>
  <c r="E55" i="11" s="1"/>
  <c r="AA55" i="2"/>
  <c r="E56" i="11" s="1"/>
  <c r="Q28" i="2"/>
  <c r="E29" i="4" s="1"/>
  <c r="AA29" i="2"/>
  <c r="E30" i="11" s="1"/>
  <c r="Y30" i="2"/>
  <c r="E31" i="10" s="1"/>
  <c r="F31" i="10" s="1"/>
  <c r="AA31" i="2"/>
  <c r="E32" i="11" s="1"/>
  <c r="Y32" i="2"/>
  <c r="E33" i="10" s="1"/>
  <c r="Y33" i="2"/>
  <c r="E34" i="10" s="1"/>
  <c r="Y34" i="2"/>
  <c r="E35" i="10" s="1"/>
  <c r="AC35" i="2"/>
  <c r="W36" i="2"/>
  <c r="E37" i="9" s="1"/>
  <c r="AA37" i="2"/>
  <c r="E38" i="11" s="1"/>
  <c r="AA38" i="2"/>
  <c r="E39" i="11" s="1"/>
  <c r="AA39" i="2"/>
  <c r="E40" i="11" s="1"/>
  <c r="Y40" i="2"/>
  <c r="E41" i="10" s="1"/>
  <c r="F41" i="10" s="1"/>
  <c r="Y41" i="2"/>
  <c r="E42" i="10" s="1"/>
  <c r="Y42" i="2"/>
  <c r="E43" i="10" s="1"/>
  <c r="Q19" i="2"/>
  <c r="E20" i="4" s="1"/>
  <c r="W20" i="2"/>
  <c r="E21" i="9" s="1"/>
  <c r="F21" i="9" s="1"/>
  <c r="AA21" i="2"/>
  <c r="E22" i="11" s="1"/>
  <c r="AA22" i="2"/>
  <c r="E23" i="11" s="1"/>
  <c r="Y23" i="2"/>
  <c r="E24" i="10" s="1"/>
  <c r="F24" i="10" s="1"/>
  <c r="S24" i="2"/>
  <c r="E25" i="7" s="1"/>
  <c r="Y25" i="2"/>
  <c r="E26" i="10" s="1"/>
  <c r="F26" i="10" s="1"/>
  <c r="Y26" i="2"/>
  <c r="E27" i="10" s="1"/>
  <c r="F27" i="10" s="1"/>
  <c r="W27" i="2"/>
  <c r="E28" i="9" s="1"/>
  <c r="F28" i="9" s="1"/>
  <c r="W14" i="2"/>
  <c r="E15" i="9" s="1"/>
  <c r="F15" i="9" s="1"/>
  <c r="Y15" i="2"/>
  <c r="E16" i="10" s="1"/>
  <c r="F16" i="10" s="1"/>
  <c r="Y16" i="2"/>
  <c r="E17" i="10" s="1"/>
  <c r="W17" i="2"/>
  <c r="E18" i="9" s="1"/>
  <c r="F18" i="9" s="1"/>
  <c r="W18" i="2"/>
  <c r="E19" i="9" s="1"/>
  <c r="M13" i="2"/>
  <c r="AC13" i="2" s="1"/>
  <c r="E68" i="11"/>
  <c r="E68" i="3"/>
  <c r="E69" i="3"/>
  <c r="E70" i="3"/>
  <c r="X70" i="2"/>
  <c r="Z70" i="2"/>
  <c r="P70" i="2"/>
  <c r="R70" i="2"/>
  <c r="T70" i="2"/>
  <c r="V70" i="2"/>
  <c r="N70" i="2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22" i="11"/>
  <c r="C23" i="11"/>
  <c r="C22" i="3"/>
  <c r="C23" i="3"/>
  <c r="C20" i="11"/>
  <c r="C21" i="11"/>
  <c r="C20" i="3"/>
  <c r="C21" i="3"/>
  <c r="C15" i="11"/>
  <c r="C16" i="11"/>
  <c r="C17" i="11"/>
  <c r="C18" i="11"/>
  <c r="C19" i="11"/>
  <c r="C15" i="3"/>
  <c r="C16" i="3"/>
  <c r="C17" i="3"/>
  <c r="C18" i="3"/>
  <c r="C19" i="3"/>
  <c r="C14" i="4"/>
  <c r="C14" i="7"/>
  <c r="C14" i="8"/>
  <c r="C14" i="9"/>
  <c r="C14" i="10"/>
  <c r="C14" i="11"/>
  <c r="C14" i="3"/>
  <c r="G16" i="4" l="1"/>
  <c r="D49" i="8"/>
  <c r="D49" i="7"/>
  <c r="G18" i="9"/>
  <c r="G21" i="9"/>
  <c r="G70" i="9"/>
  <c r="F70" i="9"/>
  <c r="G19" i="10"/>
  <c r="D49" i="9"/>
  <c r="G31" i="10"/>
  <c r="G39" i="10"/>
  <c r="G51" i="10"/>
  <c r="G69" i="9"/>
  <c r="F69" i="9"/>
  <c r="F37" i="9"/>
  <c r="G37" i="9"/>
  <c r="F68" i="9"/>
  <c r="G68" i="9"/>
  <c r="G70" i="10"/>
  <c r="F70" i="10"/>
  <c r="D49" i="4"/>
  <c r="G43" i="10"/>
  <c r="F43" i="10"/>
  <c r="G35" i="10"/>
  <c r="F35" i="10"/>
  <c r="G67" i="9"/>
  <c r="F67" i="9"/>
  <c r="G69" i="10"/>
  <c r="F69" i="10"/>
  <c r="G21" i="10"/>
  <c r="G26" i="10"/>
  <c r="G46" i="9"/>
  <c r="G50" i="10"/>
  <c r="G34" i="10"/>
  <c r="F34" i="10"/>
  <c r="F68" i="10"/>
  <c r="G68" i="10"/>
  <c r="G19" i="9"/>
  <c r="G17" i="10"/>
  <c r="G24" i="10"/>
  <c r="G41" i="10"/>
  <c r="G48" i="9"/>
  <c r="G33" i="10"/>
  <c r="F33" i="10"/>
  <c r="G45" i="9"/>
  <c r="F45" i="9"/>
  <c r="G16" i="10"/>
  <c r="G39" i="9"/>
  <c r="G41" i="9"/>
  <c r="F57" i="9"/>
  <c r="G57" i="9"/>
  <c r="G53" i="9"/>
  <c r="F53" i="9"/>
  <c r="G66" i="10"/>
  <c r="F66" i="10"/>
  <c r="G58" i="10"/>
  <c r="F58" i="10"/>
  <c r="G65" i="10"/>
  <c r="F65" i="10"/>
  <c r="F59" i="9"/>
  <c r="G59" i="9"/>
  <c r="AC46" i="2"/>
  <c r="AC48" i="2"/>
  <c r="AC49" i="2"/>
  <c r="O13" i="2"/>
  <c r="E14" i="3" s="1"/>
  <c r="Q13" i="2"/>
  <c r="E14" i="4" s="1"/>
  <c r="AC37" i="2"/>
  <c r="AC14" i="2"/>
  <c r="AC45" i="2"/>
  <c r="AC21" i="2"/>
  <c r="Q27" i="2"/>
  <c r="E28" i="4" s="1"/>
  <c r="O45" i="2"/>
  <c r="E46" i="3" s="1"/>
  <c r="O21" i="2"/>
  <c r="E22" i="3" s="1"/>
  <c r="S49" i="2"/>
  <c r="E50" i="7" s="1"/>
  <c r="S25" i="2"/>
  <c r="E26" i="7" s="1"/>
  <c r="U54" i="2"/>
  <c r="E55" i="8" s="1"/>
  <c r="U31" i="2"/>
  <c r="E32" i="8" s="1"/>
  <c r="W35" i="2"/>
  <c r="E36" i="9" s="1"/>
  <c r="F36" i="9" s="1"/>
  <c r="Y45" i="2"/>
  <c r="E46" i="10" s="1"/>
  <c r="Y21" i="2"/>
  <c r="E22" i="10" s="1"/>
  <c r="F22" i="10" s="1"/>
  <c r="AA36" i="2"/>
  <c r="E37" i="11" s="1"/>
  <c r="AC42" i="2"/>
  <c r="AC16" i="2"/>
  <c r="Q26" i="2"/>
  <c r="E27" i="4" s="1"/>
  <c r="O39" i="2"/>
  <c r="E40" i="3" s="1"/>
  <c r="O19" i="2"/>
  <c r="E20" i="3" s="1"/>
  <c r="S43" i="2"/>
  <c r="E44" i="7" s="1"/>
  <c r="S17" i="2"/>
  <c r="E18" i="7" s="1"/>
  <c r="U53" i="2"/>
  <c r="E54" i="8" s="1"/>
  <c r="U29" i="2"/>
  <c r="E30" i="8" s="1"/>
  <c r="W34" i="2"/>
  <c r="E35" i="9" s="1"/>
  <c r="Y39" i="2"/>
  <c r="E40" i="10" s="1"/>
  <c r="Y20" i="2"/>
  <c r="E21" i="10" s="1"/>
  <c r="F21" i="10" s="1"/>
  <c r="AA35" i="2"/>
  <c r="AC41" i="2"/>
  <c r="AC15" i="2"/>
  <c r="Q25" i="2"/>
  <c r="E26" i="4" s="1"/>
  <c r="O38" i="2"/>
  <c r="E39" i="3" s="1"/>
  <c r="S13" i="2"/>
  <c r="E14" i="7" s="1"/>
  <c r="S42" i="2"/>
  <c r="E43" i="7" s="1"/>
  <c r="S16" i="2"/>
  <c r="E17" i="7" s="1"/>
  <c r="U47" i="2"/>
  <c r="E48" i="8" s="1"/>
  <c r="U28" i="2"/>
  <c r="E29" i="8" s="1"/>
  <c r="W51" i="2"/>
  <c r="E52" i="9" s="1"/>
  <c r="F52" i="9" s="1"/>
  <c r="W33" i="2"/>
  <c r="E34" i="9" s="1"/>
  <c r="Y38" i="2"/>
  <c r="E39" i="10" s="1"/>
  <c r="F39" i="10" s="1"/>
  <c r="Y14" i="2"/>
  <c r="E15" i="10" s="1"/>
  <c r="F15" i="10" s="1"/>
  <c r="AA34" i="2"/>
  <c r="E35" i="11" s="1"/>
  <c r="O55" i="2"/>
  <c r="E56" i="3" s="1"/>
  <c r="O37" i="2"/>
  <c r="E38" i="3" s="1"/>
  <c r="S41" i="2"/>
  <c r="E42" i="7" s="1"/>
  <c r="S15" i="2"/>
  <c r="U46" i="2"/>
  <c r="E47" i="8" s="1"/>
  <c r="U22" i="2"/>
  <c r="E23" i="8" s="1"/>
  <c r="W50" i="2"/>
  <c r="E51" i="9" s="1"/>
  <c r="F51" i="9" s="1"/>
  <c r="W26" i="2"/>
  <c r="E27" i="9" s="1"/>
  <c r="Y55" i="2"/>
  <c r="E56" i="10" s="1"/>
  <c r="Y37" i="2"/>
  <c r="E38" i="10" s="1"/>
  <c r="AA13" i="2"/>
  <c r="E14" i="11" s="1"/>
  <c r="AA28" i="2"/>
  <c r="E29" i="11" s="1"/>
  <c r="AC50" i="2"/>
  <c r="AC34" i="2"/>
  <c r="Q42" i="2"/>
  <c r="E43" i="4" s="1"/>
  <c r="O54" i="2"/>
  <c r="E55" i="3" s="1"/>
  <c r="O31" i="2"/>
  <c r="E32" i="3" s="1"/>
  <c r="S35" i="2"/>
  <c r="E36" i="7" s="1"/>
  <c r="U45" i="2"/>
  <c r="E46" i="8" s="1"/>
  <c r="U21" i="2"/>
  <c r="E22" i="8" s="1"/>
  <c r="W49" i="2"/>
  <c r="E50" i="9" s="1"/>
  <c r="F50" i="9" s="1"/>
  <c r="W25" i="2"/>
  <c r="E26" i="9" s="1"/>
  <c r="Y54" i="2"/>
  <c r="E55" i="10" s="1"/>
  <c r="Y31" i="2"/>
  <c r="E32" i="10" s="1"/>
  <c r="F32" i="10" s="1"/>
  <c r="AA27" i="2"/>
  <c r="E28" i="11" s="1"/>
  <c r="AC33" i="2"/>
  <c r="Q36" i="2"/>
  <c r="E37" i="4" s="1"/>
  <c r="O53" i="2"/>
  <c r="E54" i="3" s="1"/>
  <c r="O29" i="2"/>
  <c r="E30" i="3" s="1"/>
  <c r="S34" i="2"/>
  <c r="E35" i="7" s="1"/>
  <c r="U39" i="2"/>
  <c r="E40" i="8" s="1"/>
  <c r="U19" i="2"/>
  <c r="E20" i="8" s="1"/>
  <c r="W43" i="2"/>
  <c r="E44" i="9" s="1"/>
  <c r="Y53" i="2"/>
  <c r="E54" i="10" s="1"/>
  <c r="Y29" i="2"/>
  <c r="E30" i="10" s="1"/>
  <c r="F30" i="10" s="1"/>
  <c r="AA26" i="2"/>
  <c r="E27" i="11" s="1"/>
  <c r="AC29" i="2"/>
  <c r="Q35" i="2"/>
  <c r="E36" i="4" s="1"/>
  <c r="O47" i="2"/>
  <c r="E48" i="3" s="1"/>
  <c r="O28" i="2"/>
  <c r="E29" i="3" s="1"/>
  <c r="S51" i="2"/>
  <c r="E52" i="7" s="1"/>
  <c r="S33" i="2"/>
  <c r="E34" i="7" s="1"/>
  <c r="U38" i="2"/>
  <c r="E39" i="8" s="1"/>
  <c r="W13" i="2"/>
  <c r="E14" i="9" s="1"/>
  <c r="W42" i="2"/>
  <c r="E43" i="9" s="1"/>
  <c r="W16" i="2"/>
  <c r="E17" i="9" s="1"/>
  <c r="F17" i="9" s="1"/>
  <c r="Y47" i="2"/>
  <c r="E48" i="10" s="1"/>
  <c r="Y28" i="2"/>
  <c r="E29" i="10" s="1"/>
  <c r="F29" i="10" s="1"/>
  <c r="AA19" i="2"/>
  <c r="E20" i="11" s="1"/>
  <c r="AC25" i="2"/>
  <c r="Q34" i="2"/>
  <c r="E35" i="4" s="1"/>
  <c r="O46" i="2"/>
  <c r="E47" i="3" s="1"/>
  <c r="O22" i="2"/>
  <c r="E23" i="3" s="1"/>
  <c r="S50" i="2"/>
  <c r="E51" i="7" s="1"/>
  <c r="S26" i="2"/>
  <c r="E27" i="7" s="1"/>
  <c r="U55" i="2"/>
  <c r="U37" i="2"/>
  <c r="E38" i="8" s="1"/>
  <c r="W41" i="2"/>
  <c r="E42" i="9" s="1"/>
  <c r="W15" i="2"/>
  <c r="E16" i="9" s="1"/>
  <c r="F16" i="9" s="1"/>
  <c r="Y46" i="2"/>
  <c r="E47" i="10" s="1"/>
  <c r="Y22" i="2"/>
  <c r="E23" i="10" s="1"/>
  <c r="AA42" i="2"/>
  <c r="E43" i="11" s="1"/>
  <c r="Q52" i="2"/>
  <c r="E53" i="4" s="1"/>
  <c r="Q18" i="2"/>
  <c r="E19" i="4" s="1"/>
  <c r="AA52" i="2"/>
  <c r="E53" i="11" s="1"/>
  <c r="Q17" i="2"/>
  <c r="E18" i="4" s="1"/>
  <c r="AA51" i="2"/>
  <c r="E52" i="11" s="1"/>
  <c r="AC32" i="2"/>
  <c r="AC23" i="2"/>
  <c r="W24" i="2"/>
  <c r="E25" i="9" s="1"/>
  <c r="AA50" i="2"/>
  <c r="E51" i="11" s="1"/>
  <c r="AC47" i="2"/>
  <c r="AC39" i="2"/>
  <c r="AC31" i="2"/>
  <c r="AC22" i="2"/>
  <c r="Q49" i="2"/>
  <c r="E50" i="4" s="1"/>
  <c r="Q41" i="2"/>
  <c r="E42" i="4" s="1"/>
  <c r="Q33" i="2"/>
  <c r="E34" i="4" s="1"/>
  <c r="Q24" i="2"/>
  <c r="E25" i="4" s="1"/>
  <c r="O52" i="2"/>
  <c r="E53" i="3" s="1"/>
  <c r="O44" i="2"/>
  <c r="E45" i="3" s="1"/>
  <c r="O36" i="2"/>
  <c r="E37" i="3" s="1"/>
  <c r="O27" i="2"/>
  <c r="E28" i="3" s="1"/>
  <c r="O18" i="2"/>
  <c r="E19" i="3" s="1"/>
  <c r="S48" i="2"/>
  <c r="E49" i="7" s="1"/>
  <c r="S40" i="2"/>
  <c r="E41" i="7" s="1"/>
  <c r="S32" i="2"/>
  <c r="E33" i="7" s="1"/>
  <c r="S23" i="2"/>
  <c r="E24" i="7" s="1"/>
  <c r="S14" i="2"/>
  <c r="E15" i="7" s="1"/>
  <c r="U52" i="2"/>
  <c r="E53" i="8" s="1"/>
  <c r="U44" i="2"/>
  <c r="E45" i="8" s="1"/>
  <c r="U36" i="2"/>
  <c r="E37" i="8" s="1"/>
  <c r="U27" i="2"/>
  <c r="E28" i="8" s="1"/>
  <c r="U18" i="2"/>
  <c r="E19" i="8" s="1"/>
  <c r="W48" i="2"/>
  <c r="E49" i="9" s="1"/>
  <c r="F49" i="9" s="1"/>
  <c r="W40" i="2"/>
  <c r="E41" i="9" s="1"/>
  <c r="F41" i="9" s="1"/>
  <c r="W32" i="2"/>
  <c r="E33" i="9" s="1"/>
  <c r="W23" i="2"/>
  <c r="E24" i="9" s="1"/>
  <c r="F24" i="9" s="1"/>
  <c r="Y52" i="2"/>
  <c r="E53" i="10" s="1"/>
  <c r="Y44" i="2"/>
  <c r="E45" i="10" s="1"/>
  <c r="Y36" i="2"/>
  <c r="E37" i="10" s="1"/>
  <c r="Y27" i="2"/>
  <c r="E28" i="10" s="1"/>
  <c r="F28" i="10" s="1"/>
  <c r="Y19" i="2"/>
  <c r="E20" i="10" s="1"/>
  <c r="AA49" i="2"/>
  <c r="E50" i="11" s="1"/>
  <c r="AA41" i="2"/>
  <c r="E42" i="11" s="1"/>
  <c r="AA33" i="2"/>
  <c r="E34" i="11" s="1"/>
  <c r="AA25" i="2"/>
  <c r="E26" i="11" s="1"/>
  <c r="AA16" i="2"/>
  <c r="E17" i="11" s="1"/>
  <c r="Q50" i="2"/>
  <c r="E51" i="4" s="1"/>
  <c r="AC38" i="2"/>
  <c r="AC55" i="2"/>
  <c r="Q48" i="2"/>
  <c r="E49" i="4" s="1"/>
  <c r="Q40" i="2"/>
  <c r="E41" i="4" s="1"/>
  <c r="Q32" i="2"/>
  <c r="E33" i="4" s="1"/>
  <c r="Q23" i="2"/>
  <c r="E24" i="4" s="1"/>
  <c r="Q14" i="2"/>
  <c r="E15" i="4" s="1"/>
  <c r="O51" i="2"/>
  <c r="E52" i="3" s="1"/>
  <c r="O43" i="2"/>
  <c r="E44" i="3" s="1"/>
  <c r="O35" i="2"/>
  <c r="E36" i="3" s="1"/>
  <c r="O26" i="2"/>
  <c r="E27" i="3" s="1"/>
  <c r="O17" i="2"/>
  <c r="E18" i="3" s="1"/>
  <c r="S55" i="2"/>
  <c r="E56" i="7" s="1"/>
  <c r="S47" i="2"/>
  <c r="E48" i="7" s="1"/>
  <c r="S39" i="2"/>
  <c r="E40" i="7" s="1"/>
  <c r="S31" i="2"/>
  <c r="E32" i="7" s="1"/>
  <c r="S22" i="2"/>
  <c r="E23" i="7" s="1"/>
  <c r="U13" i="2"/>
  <c r="E14" i="8" s="1"/>
  <c r="F14" i="8" s="1"/>
  <c r="U51" i="2"/>
  <c r="E52" i="8" s="1"/>
  <c r="U43" i="2"/>
  <c r="E44" i="8" s="1"/>
  <c r="U35" i="2"/>
  <c r="E36" i="8" s="1"/>
  <c r="U26" i="2"/>
  <c r="E27" i="8" s="1"/>
  <c r="U17" i="2"/>
  <c r="E18" i="8" s="1"/>
  <c r="W55" i="2"/>
  <c r="E56" i="9" s="1"/>
  <c r="W47" i="2"/>
  <c r="E48" i="9" s="1"/>
  <c r="F48" i="9" s="1"/>
  <c r="W39" i="2"/>
  <c r="E40" i="9" s="1"/>
  <c r="F40" i="9" s="1"/>
  <c r="W31" i="2"/>
  <c r="E32" i="9" s="1"/>
  <c r="F32" i="9" s="1"/>
  <c r="W22" i="2"/>
  <c r="E23" i="9" s="1"/>
  <c r="F23" i="9" s="1"/>
  <c r="Y13" i="2"/>
  <c r="E14" i="10" s="1"/>
  <c r="Y51" i="2"/>
  <c r="E52" i="10" s="1"/>
  <c r="Y43" i="2"/>
  <c r="E44" i="10" s="1"/>
  <c r="Y35" i="2"/>
  <c r="E36" i="10" s="1"/>
  <c r="Y18" i="2"/>
  <c r="E19" i="10" s="1"/>
  <c r="F19" i="10" s="1"/>
  <c r="AA48" i="2"/>
  <c r="E49" i="11" s="1"/>
  <c r="AA40" i="2"/>
  <c r="E41" i="11" s="1"/>
  <c r="AA32" i="2"/>
  <c r="E33" i="11" s="1"/>
  <c r="AA24" i="2"/>
  <c r="E25" i="11" s="1"/>
  <c r="AA15" i="2"/>
  <c r="E16" i="11" s="1"/>
  <c r="Q51" i="2"/>
  <c r="E52" i="4" s="1"/>
  <c r="Q16" i="2"/>
  <c r="E17" i="4" s="1"/>
  <c r="AC28" i="2"/>
  <c r="AC19" i="2"/>
  <c r="AC54" i="2"/>
  <c r="Q55" i="2"/>
  <c r="E56" i="4" s="1"/>
  <c r="Q47" i="2"/>
  <c r="E48" i="4" s="1"/>
  <c r="Q39" i="2"/>
  <c r="E40" i="4" s="1"/>
  <c r="Q31" i="2"/>
  <c r="E32" i="4" s="1"/>
  <c r="Q22" i="2"/>
  <c r="E23" i="4" s="1"/>
  <c r="O50" i="2"/>
  <c r="E51" i="3" s="1"/>
  <c r="O42" i="2"/>
  <c r="E43" i="3" s="1"/>
  <c r="O34" i="2"/>
  <c r="E35" i="3" s="1"/>
  <c r="O25" i="2"/>
  <c r="E26" i="3" s="1"/>
  <c r="O16" i="2"/>
  <c r="E17" i="3" s="1"/>
  <c r="S54" i="2"/>
  <c r="E55" i="7" s="1"/>
  <c r="S46" i="2"/>
  <c r="E47" i="7" s="1"/>
  <c r="S38" i="2"/>
  <c r="E39" i="7" s="1"/>
  <c r="S29" i="2"/>
  <c r="E30" i="7" s="1"/>
  <c r="S21" i="2"/>
  <c r="E22" i="7" s="1"/>
  <c r="U50" i="2"/>
  <c r="E51" i="8" s="1"/>
  <c r="U42" i="2"/>
  <c r="E43" i="8" s="1"/>
  <c r="U34" i="2"/>
  <c r="E35" i="8" s="1"/>
  <c r="U25" i="2"/>
  <c r="E26" i="8" s="1"/>
  <c r="U16" i="2"/>
  <c r="E17" i="8" s="1"/>
  <c r="W54" i="2"/>
  <c r="E55" i="9" s="1"/>
  <c r="W46" i="2"/>
  <c r="E47" i="9" s="1"/>
  <c r="W38" i="2"/>
  <c r="E39" i="9" s="1"/>
  <c r="F39" i="9" s="1"/>
  <c r="W29" i="2"/>
  <c r="E30" i="9" s="1"/>
  <c r="F30" i="9" s="1"/>
  <c r="W21" i="2"/>
  <c r="E22" i="9" s="1"/>
  <c r="Y17" i="2"/>
  <c r="E18" i="10" s="1"/>
  <c r="F18" i="10" s="1"/>
  <c r="AA23" i="2"/>
  <c r="E24" i="11" s="1"/>
  <c r="AA14" i="2"/>
  <c r="E15" i="11" s="1"/>
  <c r="Q44" i="2"/>
  <c r="E45" i="4" s="1"/>
  <c r="AC24" i="2"/>
  <c r="Q43" i="2"/>
  <c r="E44" i="4" s="1"/>
  <c r="AC52" i="2"/>
  <c r="AC44" i="2"/>
  <c r="AC36" i="2"/>
  <c r="AC27" i="2"/>
  <c r="AC18" i="2"/>
  <c r="AC53" i="2"/>
  <c r="Q54" i="2"/>
  <c r="E55" i="4" s="1"/>
  <c r="Q46" i="2"/>
  <c r="E47" i="4" s="1"/>
  <c r="Q38" i="2"/>
  <c r="E39" i="4" s="1"/>
  <c r="Q29" i="2"/>
  <c r="E30" i="4" s="1"/>
  <c r="Q21" i="2"/>
  <c r="E22" i="4" s="1"/>
  <c r="O49" i="2"/>
  <c r="E50" i="3" s="1"/>
  <c r="O41" i="2"/>
  <c r="E42" i="3" s="1"/>
  <c r="O33" i="2"/>
  <c r="E34" i="3" s="1"/>
  <c r="O24" i="2"/>
  <c r="E25" i="3" s="1"/>
  <c r="E16" i="3"/>
  <c r="S53" i="2"/>
  <c r="E54" i="7" s="1"/>
  <c r="S45" i="2"/>
  <c r="E46" i="7" s="1"/>
  <c r="S37" i="2"/>
  <c r="E38" i="7" s="1"/>
  <c r="S28" i="2"/>
  <c r="E29" i="7" s="1"/>
  <c r="S19" i="2"/>
  <c r="E20" i="7" s="1"/>
  <c r="U49" i="2"/>
  <c r="E50" i="8" s="1"/>
  <c r="U41" i="2"/>
  <c r="E42" i="8" s="1"/>
  <c r="U33" i="2"/>
  <c r="E34" i="8" s="1"/>
  <c r="U24" i="2"/>
  <c r="E25" i="8" s="1"/>
  <c r="U15" i="2"/>
  <c r="E16" i="8" s="1"/>
  <c r="W53" i="2"/>
  <c r="E54" i="9" s="1"/>
  <c r="W45" i="2"/>
  <c r="E46" i="9" s="1"/>
  <c r="F46" i="9" s="1"/>
  <c r="W37" i="2"/>
  <c r="E38" i="9" s="1"/>
  <c r="F38" i="9" s="1"/>
  <c r="W28" i="2"/>
  <c r="E29" i="9" s="1"/>
  <c r="F29" i="9" s="1"/>
  <c r="W19" i="2"/>
  <c r="E20" i="9" s="1"/>
  <c r="Y24" i="2"/>
  <c r="E25" i="10" s="1"/>
  <c r="AA30" i="2"/>
  <c r="E31" i="11" s="1"/>
  <c r="AA44" i="2"/>
  <c r="E45" i="11" s="1"/>
  <c r="AA43" i="2"/>
  <c r="E44" i="11" s="1"/>
  <c r="AA18" i="2"/>
  <c r="E19" i="11" s="1"/>
  <c r="AC40" i="2"/>
  <c r="AA17" i="2"/>
  <c r="E18" i="11" s="1"/>
  <c r="AC26" i="2"/>
  <c r="AC17" i="2"/>
  <c r="Q53" i="2"/>
  <c r="E54" i="4" s="1"/>
  <c r="Q45" i="2"/>
  <c r="E46" i="4" s="1"/>
  <c r="Q37" i="2"/>
  <c r="E38" i="4" s="1"/>
  <c r="O62" i="2"/>
  <c r="E63" i="3" s="1"/>
  <c r="O48" i="2"/>
  <c r="E49" i="3" s="1"/>
  <c r="O40" i="2"/>
  <c r="E41" i="3" s="1"/>
  <c r="O32" i="2"/>
  <c r="E33" i="3" s="1"/>
  <c r="O23" i="2"/>
  <c r="E24" i="3" s="1"/>
  <c r="O14" i="2"/>
  <c r="E15" i="3" s="1"/>
  <c r="S52" i="2"/>
  <c r="E53" i="7" s="1"/>
  <c r="S44" i="2"/>
  <c r="E45" i="7" s="1"/>
  <c r="S36" i="2"/>
  <c r="E37" i="7" s="1"/>
  <c r="S27" i="2"/>
  <c r="E28" i="7" s="1"/>
  <c r="S18" i="2"/>
  <c r="E19" i="7" s="1"/>
  <c r="U48" i="2"/>
  <c r="E49" i="8" s="1"/>
  <c r="U40" i="2"/>
  <c r="E41" i="8" s="1"/>
  <c r="U32" i="2"/>
  <c r="E33" i="8" s="1"/>
  <c r="U23" i="2"/>
  <c r="E24" i="8" s="1"/>
  <c r="U14" i="2"/>
  <c r="E15" i="8" s="1"/>
  <c r="F61" i="8"/>
  <c r="Q65" i="2"/>
  <c r="E66" i="4" s="1"/>
  <c r="AC57" i="2"/>
  <c r="S57" i="2"/>
  <c r="E58" i="7" s="1"/>
  <c r="O61" i="2"/>
  <c r="E62" i="3" s="1"/>
  <c r="Q63" i="2"/>
  <c r="E64" i="4" s="1"/>
  <c r="AC66" i="2"/>
  <c r="Q57" i="2"/>
  <c r="E58" i="4" s="1"/>
  <c r="W65" i="2"/>
  <c r="E66" i="9" s="1"/>
  <c r="Y63" i="2"/>
  <c r="E64" i="10" s="1"/>
  <c r="AA62" i="2"/>
  <c r="E63" i="11" s="1"/>
  <c r="AC65" i="2"/>
  <c r="U65" i="2"/>
  <c r="W63" i="2"/>
  <c r="E64" i="9" s="1"/>
  <c r="Y62" i="2"/>
  <c r="E63" i="10" s="1"/>
  <c r="AA61" i="2"/>
  <c r="E62" i="11" s="1"/>
  <c r="AC62" i="2"/>
  <c r="S65" i="2"/>
  <c r="E66" i="7" s="1"/>
  <c r="U63" i="2"/>
  <c r="W61" i="2"/>
  <c r="E62" i="9" s="1"/>
  <c r="Y61" i="2"/>
  <c r="E62" i="10" s="1"/>
  <c r="AC58" i="2"/>
  <c r="O63" i="2"/>
  <c r="E64" i="3" s="1"/>
  <c r="S61" i="2"/>
  <c r="E62" i="7" s="1"/>
  <c r="U57" i="2"/>
  <c r="W57" i="2"/>
  <c r="E58" i="9" s="1"/>
  <c r="F69" i="8"/>
  <c r="Q59" i="2"/>
  <c r="E60" i="4" s="1"/>
  <c r="U59" i="2"/>
  <c r="Q66" i="2"/>
  <c r="E67" i="4" s="1"/>
  <c r="Q58" i="2"/>
  <c r="E59" i="4" s="1"/>
  <c r="S60" i="2"/>
  <c r="E61" i="7" s="1"/>
  <c r="U66" i="2"/>
  <c r="U58" i="2"/>
  <c r="W64" i="2"/>
  <c r="E65" i="9" s="1"/>
  <c r="AC64" i="2"/>
  <c r="S59" i="2"/>
  <c r="E60" i="7" s="1"/>
  <c r="AA60" i="2"/>
  <c r="E61" i="11" s="1"/>
  <c r="Q64" i="2"/>
  <c r="E65" i="4" s="1"/>
  <c r="O60" i="2"/>
  <c r="E61" i="3" s="1"/>
  <c r="S66" i="2"/>
  <c r="E67" i="7" s="1"/>
  <c r="S58" i="2"/>
  <c r="E59" i="7" s="1"/>
  <c r="U64" i="2"/>
  <c r="W62" i="2"/>
  <c r="E63" i="9" s="1"/>
  <c r="Y60" i="2"/>
  <c r="E61" i="10" s="1"/>
  <c r="AA59" i="2"/>
  <c r="E60" i="11" s="1"/>
  <c r="AC61" i="2"/>
  <c r="Q62" i="2"/>
  <c r="E63" i="4" s="1"/>
  <c r="O66" i="2"/>
  <c r="E67" i="3" s="1"/>
  <c r="O58" i="2"/>
  <c r="E59" i="3" s="1"/>
  <c r="S64" i="2"/>
  <c r="E65" i="7" s="1"/>
  <c r="U62" i="2"/>
  <c r="W60" i="2"/>
  <c r="E61" i="9" s="1"/>
  <c r="Y66" i="2"/>
  <c r="E67" i="10" s="1"/>
  <c r="Y58" i="2"/>
  <c r="E59" i="10" s="1"/>
  <c r="AA65" i="2"/>
  <c r="E66" i="11" s="1"/>
  <c r="AA57" i="2"/>
  <c r="E58" i="11" s="1"/>
  <c r="AA66" i="2"/>
  <c r="E67" i="11" s="1"/>
  <c r="AC60" i="2"/>
  <c r="Q61" i="2"/>
  <c r="E62" i="4" s="1"/>
  <c r="O65" i="2"/>
  <c r="E66" i="3" s="1"/>
  <c r="O57" i="2"/>
  <c r="E58" i="3" s="1"/>
  <c r="S63" i="2"/>
  <c r="E64" i="7" s="1"/>
  <c r="W59" i="2"/>
  <c r="E60" i="9" s="1"/>
  <c r="AA64" i="2"/>
  <c r="E65" i="11" s="1"/>
  <c r="O59" i="2"/>
  <c r="E60" i="3" s="1"/>
  <c r="Y59" i="2"/>
  <c r="E60" i="10" s="1"/>
  <c r="AA58" i="2"/>
  <c r="E59" i="11" s="1"/>
  <c r="Q60" i="2"/>
  <c r="E61" i="4" s="1"/>
  <c r="O64" i="2"/>
  <c r="E65" i="3" s="1"/>
  <c r="AA63" i="2"/>
  <c r="E64" i="11" s="1"/>
  <c r="Q56" i="2"/>
  <c r="E57" i="4" s="1"/>
  <c r="U56" i="2"/>
  <c r="S56" i="2"/>
  <c r="O56" i="2"/>
  <c r="E57" i="3" s="1"/>
  <c r="AC56" i="2"/>
  <c r="Y56" i="2"/>
  <c r="E57" i="10" s="1"/>
  <c r="AA56" i="2"/>
  <c r="E57" i="11" s="1"/>
  <c r="F70" i="8"/>
  <c r="F62" i="8"/>
  <c r="F68" i="8"/>
  <c r="Q30" i="2"/>
  <c r="E31" i="4" s="1"/>
  <c r="AC30" i="2"/>
  <c r="O30" i="2"/>
  <c r="E31" i="3" s="1"/>
  <c r="S30" i="2"/>
  <c r="E31" i="7" s="1"/>
  <c r="U30" i="2"/>
  <c r="E31" i="8" s="1"/>
  <c r="W30" i="2"/>
  <c r="E31" i="9" s="1"/>
  <c r="AA20" i="2"/>
  <c r="E21" i="11" s="1"/>
  <c r="O20" i="2"/>
  <c r="E21" i="3" s="1"/>
  <c r="AC20" i="2"/>
  <c r="Q20" i="2"/>
  <c r="E21" i="4" s="1"/>
  <c r="S20" i="2"/>
  <c r="E21" i="7" s="1"/>
  <c r="U20" i="2"/>
  <c r="E21" i="8" s="1"/>
  <c r="AC70" i="2"/>
  <c r="E36" i="11"/>
  <c r="Q70" i="2"/>
  <c r="E71" i="4" s="1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63" i="2"/>
  <c r="D64" i="2"/>
  <c r="D65" i="2"/>
  <c r="D66" i="2"/>
  <c r="D67" i="2"/>
  <c r="D68" i="2"/>
  <c r="D69" i="2"/>
  <c r="D70" i="2"/>
  <c r="E70" i="2"/>
  <c r="F70" i="2"/>
  <c r="G70" i="2"/>
  <c r="H70" i="2"/>
  <c r="D14" i="2"/>
  <c r="D16" i="2"/>
  <c r="D17" i="2"/>
  <c r="D18" i="2"/>
  <c r="D19" i="2"/>
  <c r="D20" i="2"/>
  <c r="D21" i="2"/>
  <c r="D22" i="2"/>
  <c r="D23" i="2"/>
  <c r="D24" i="2"/>
  <c r="D25" i="2"/>
  <c r="D26" i="2"/>
  <c r="D27" i="2"/>
  <c r="D13" i="2"/>
  <c r="E13" i="2"/>
  <c r="F13" i="2"/>
  <c r="G13" i="2"/>
  <c r="H13" i="2"/>
  <c r="B14" i="2"/>
  <c r="B15" i="11" s="1"/>
  <c r="B17" i="3"/>
  <c r="B18" i="10"/>
  <c r="B19" i="3"/>
  <c r="B20" i="10"/>
  <c r="B21" i="9"/>
  <c r="B22" i="3"/>
  <c r="B23" i="3"/>
  <c r="B24" i="11"/>
  <c r="B25" i="11"/>
  <c r="B26" i="3"/>
  <c r="B27" i="9"/>
  <c r="B28" i="7"/>
  <c r="B29" i="9"/>
  <c r="B30" i="3"/>
  <c r="B31" i="3"/>
  <c r="B32" i="11"/>
  <c r="B33" i="7"/>
  <c r="B34" i="9"/>
  <c r="B35" i="11"/>
  <c r="B36" i="7"/>
  <c r="B37" i="9"/>
  <c r="B38" i="3"/>
  <c r="B39" i="10"/>
  <c r="B40" i="11"/>
  <c r="B41" i="9"/>
  <c r="B42" i="8"/>
  <c r="B43" i="11"/>
  <c r="B44" i="9"/>
  <c r="B45" i="9"/>
  <c r="B46" i="3"/>
  <c r="B47" i="8"/>
  <c r="B48" i="3"/>
  <c r="B49" i="3"/>
  <c r="B50" i="8"/>
  <c r="B51" i="3"/>
  <c r="B52" i="11"/>
  <c r="B53" i="10"/>
  <c r="B54" i="3"/>
  <c r="B55" i="7"/>
  <c r="B56" i="11"/>
  <c r="B57" i="10"/>
  <c r="B58" i="8"/>
  <c r="B59" i="11"/>
  <c r="B60" i="3"/>
  <c r="B61" i="9"/>
  <c r="B62" i="9"/>
  <c r="B63" i="3"/>
  <c r="B63" i="2"/>
  <c r="B64" i="7" s="1"/>
  <c r="B64" i="2"/>
  <c r="B65" i="4" s="1"/>
  <c r="B65" i="2"/>
  <c r="B66" i="9" s="1"/>
  <c r="B66" i="2"/>
  <c r="B67" i="3" s="1"/>
  <c r="B13" i="2"/>
  <c r="B14" i="11" s="1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63" i="2"/>
  <c r="C64" i="2"/>
  <c r="C65" i="2"/>
  <c r="C66" i="2"/>
  <c r="C67" i="2"/>
  <c r="C68" i="2"/>
  <c r="C69" i="2"/>
  <c r="C13" i="2"/>
  <c r="F70" i="7"/>
  <c r="B70" i="4"/>
  <c r="B70" i="7"/>
  <c r="B70" i="8"/>
  <c r="B70" i="9"/>
  <c r="B70" i="10"/>
  <c r="B70" i="11"/>
  <c r="B70" i="3"/>
  <c r="B68" i="4"/>
  <c r="B69" i="4"/>
  <c r="B68" i="7"/>
  <c r="B69" i="7"/>
  <c r="B68" i="8"/>
  <c r="B69" i="8"/>
  <c r="B68" i="9"/>
  <c r="B69" i="9"/>
  <c r="B68" i="10"/>
  <c r="B69" i="10"/>
  <c r="B68" i="11"/>
  <c r="B69" i="11"/>
  <c r="B68" i="3"/>
  <c r="B69" i="3"/>
  <c r="A64" i="4"/>
  <c r="A65" i="4"/>
  <c r="A66" i="4"/>
  <c r="A67" i="4"/>
  <c r="A68" i="4"/>
  <c r="A69" i="4"/>
  <c r="A64" i="7"/>
  <c r="A65" i="7"/>
  <c r="A66" i="7"/>
  <c r="A67" i="7"/>
  <c r="A68" i="7"/>
  <c r="A69" i="7"/>
  <c r="A64" i="8"/>
  <c r="A65" i="8"/>
  <c r="A66" i="8"/>
  <c r="A67" i="8"/>
  <c r="A68" i="8"/>
  <c r="A69" i="8"/>
  <c r="A64" i="9"/>
  <c r="A65" i="9"/>
  <c r="A66" i="9"/>
  <c r="A67" i="9"/>
  <c r="A68" i="9"/>
  <c r="A69" i="9"/>
  <c r="A64" i="10"/>
  <c r="A65" i="10"/>
  <c r="A66" i="10"/>
  <c r="A67" i="10"/>
  <c r="A68" i="10"/>
  <c r="A69" i="10"/>
  <c r="A64" i="11"/>
  <c r="A65" i="11"/>
  <c r="A66" i="11"/>
  <c r="A67" i="11"/>
  <c r="A68" i="11"/>
  <c r="A69" i="11"/>
  <c r="A64" i="3"/>
  <c r="A65" i="3"/>
  <c r="A66" i="3"/>
  <c r="A67" i="3"/>
  <c r="A68" i="3"/>
  <c r="A69" i="3"/>
  <c r="A61" i="4"/>
  <c r="A62" i="4"/>
  <c r="A63" i="4"/>
  <c r="A61" i="7"/>
  <c r="A62" i="7"/>
  <c r="A63" i="7"/>
  <c r="A61" i="8"/>
  <c r="A62" i="8"/>
  <c r="A63" i="8"/>
  <c r="A61" i="9"/>
  <c r="A62" i="9"/>
  <c r="A63" i="9"/>
  <c r="A61" i="10"/>
  <c r="A62" i="10"/>
  <c r="A63" i="10"/>
  <c r="A61" i="11"/>
  <c r="A62" i="11"/>
  <c r="A63" i="11"/>
  <c r="A61" i="3"/>
  <c r="A62" i="3"/>
  <c r="A63" i="3"/>
  <c r="A70" i="3"/>
  <c r="A70" i="11"/>
  <c r="A70" i="10"/>
  <c r="A70" i="9"/>
  <c r="A70" i="8"/>
  <c r="A70" i="7"/>
  <c r="A70" i="4"/>
  <c r="AD63" i="2"/>
  <c r="K13" i="2"/>
  <c r="D71" i="7"/>
  <c r="D71" i="8"/>
  <c r="D71" i="9"/>
  <c r="D71" i="10"/>
  <c r="D71" i="11"/>
  <c r="E71" i="11" s="1"/>
  <c r="D71" i="3"/>
  <c r="E71" i="3" s="1"/>
  <c r="B71" i="3"/>
  <c r="B71" i="11"/>
  <c r="B71" i="10"/>
  <c r="B71" i="9"/>
  <c r="B71" i="8"/>
  <c r="B71" i="7"/>
  <c r="B71" i="4"/>
  <c r="G50" i="9" l="1"/>
  <c r="F67" i="8"/>
  <c r="E67" i="8"/>
  <c r="G47" i="10"/>
  <c r="F47" i="10"/>
  <c r="G14" i="9"/>
  <c r="G24" i="9"/>
  <c r="G29" i="9"/>
  <c r="G32" i="10"/>
  <c r="G16" i="9"/>
  <c r="F34" i="9"/>
  <c r="G34" i="9"/>
  <c r="F67" i="10"/>
  <c r="G67" i="10"/>
  <c r="G44" i="9"/>
  <c r="F44" i="9"/>
  <c r="G22" i="10"/>
  <c r="G40" i="9"/>
  <c r="G18" i="10"/>
  <c r="G49" i="9"/>
  <c r="G44" i="10"/>
  <c r="F44" i="10"/>
  <c r="F22" i="9"/>
  <c r="G22" i="9"/>
  <c r="G25" i="10"/>
  <c r="F25" i="10"/>
  <c r="G20" i="10"/>
  <c r="F20" i="10"/>
  <c r="G27" i="9"/>
  <c r="F27" i="9"/>
  <c r="F40" i="10"/>
  <c r="G40" i="10"/>
  <c r="G30" i="10"/>
  <c r="G32" i="9"/>
  <c r="G30" i="9"/>
  <c r="G46" i="10"/>
  <c r="F46" i="10"/>
  <c r="F31" i="9"/>
  <c r="G31" i="9"/>
  <c r="G33" i="9"/>
  <c r="F33" i="9"/>
  <c r="G36" i="9"/>
  <c r="F20" i="9"/>
  <c r="G20" i="9"/>
  <c r="G47" i="9"/>
  <c r="F47" i="9"/>
  <c r="G48" i="10"/>
  <c r="F48" i="10"/>
  <c r="G35" i="9"/>
  <c r="F35" i="9"/>
  <c r="G23" i="9"/>
  <c r="G51" i="9"/>
  <c r="G45" i="10"/>
  <c r="F45" i="10"/>
  <c r="G23" i="10"/>
  <c r="F23" i="10"/>
  <c r="G43" i="9"/>
  <c r="F43" i="9"/>
  <c r="F42" i="9"/>
  <c r="G42" i="9"/>
  <c r="G36" i="10"/>
  <c r="F36" i="10"/>
  <c r="G37" i="10"/>
  <c r="F37" i="10"/>
  <c r="F25" i="9"/>
  <c r="G25" i="9"/>
  <c r="G26" i="9"/>
  <c r="F26" i="9"/>
  <c r="G15" i="10"/>
  <c r="G29" i="10"/>
  <c r="G28" i="10"/>
  <c r="G17" i="9"/>
  <c r="F53" i="10"/>
  <c r="G53" i="10"/>
  <c r="G60" i="9"/>
  <c r="F60" i="9"/>
  <c r="G54" i="9"/>
  <c r="F54" i="9"/>
  <c r="G64" i="10"/>
  <c r="F64" i="10"/>
  <c r="G59" i="10"/>
  <c r="F59" i="10"/>
  <c r="G63" i="10"/>
  <c r="F63" i="10"/>
  <c r="F54" i="10"/>
  <c r="G54" i="10"/>
  <c r="F58" i="9"/>
  <c r="G58" i="9"/>
  <c r="F66" i="9"/>
  <c r="G66" i="9"/>
  <c r="G64" i="9"/>
  <c r="F64" i="9"/>
  <c r="G56" i="10"/>
  <c r="F56" i="10"/>
  <c r="E57" i="8"/>
  <c r="F57" i="8" s="1"/>
  <c r="E58" i="8"/>
  <c r="F58" i="8" s="1"/>
  <c r="G57" i="10"/>
  <c r="F57" i="10"/>
  <c r="G61" i="9"/>
  <c r="F61" i="9"/>
  <c r="F61" i="10"/>
  <c r="G61" i="10"/>
  <c r="E60" i="8"/>
  <c r="F60" i="8" s="1"/>
  <c r="F62" i="10"/>
  <c r="G62" i="10"/>
  <c r="E66" i="8"/>
  <c r="F66" i="8" s="1"/>
  <c r="E56" i="8"/>
  <c r="F56" i="8" s="1"/>
  <c r="E57" i="7"/>
  <c r="F57" i="7" s="1"/>
  <c r="E59" i="8"/>
  <c r="F59" i="8" s="1"/>
  <c r="G62" i="9"/>
  <c r="F62" i="9"/>
  <c r="G55" i="10"/>
  <c r="F55" i="10"/>
  <c r="E63" i="8"/>
  <c r="F63" i="8" s="1"/>
  <c r="G63" i="9"/>
  <c r="F63" i="9"/>
  <c r="G60" i="10"/>
  <c r="F60" i="10"/>
  <c r="E65" i="8"/>
  <c r="G65" i="8" s="1"/>
  <c r="F65" i="9"/>
  <c r="G65" i="9"/>
  <c r="E64" i="8"/>
  <c r="F64" i="8" s="1"/>
  <c r="G55" i="9"/>
  <c r="F55" i="9"/>
  <c r="G56" i="9"/>
  <c r="F56" i="9"/>
  <c r="F38" i="10"/>
  <c r="G38" i="10"/>
  <c r="G38" i="9"/>
  <c r="F52" i="10"/>
  <c r="G52" i="10"/>
  <c r="G52" i="9"/>
  <c r="F14" i="4"/>
  <c r="AD66" i="2"/>
  <c r="B21" i="3"/>
  <c r="B16" i="3"/>
  <c r="B32" i="8"/>
  <c r="B24" i="10"/>
  <c r="B24" i="4"/>
  <c r="B16" i="11"/>
  <c r="B15" i="7"/>
  <c r="AD61" i="2"/>
  <c r="AD65" i="2"/>
  <c r="AD60" i="2"/>
  <c r="AD64" i="2"/>
  <c r="B24" i="9"/>
  <c r="B21" i="10"/>
  <c r="B40" i="4"/>
  <c r="B40" i="9"/>
  <c r="B40" i="7"/>
  <c r="B40" i="10"/>
  <c r="B15" i="9"/>
  <c r="B39" i="7"/>
  <c r="B45" i="8"/>
  <c r="B21" i="8"/>
  <c r="B59" i="9"/>
  <c r="B31" i="10"/>
  <c r="B47" i="7"/>
  <c r="B55" i="4"/>
  <c r="B48" i="8"/>
  <c r="B53" i="9"/>
  <c r="B19" i="4"/>
  <c r="B43" i="8"/>
  <c r="B35" i="3"/>
  <c r="B59" i="4"/>
  <c r="B43" i="10"/>
  <c r="B35" i="7"/>
  <c r="B55" i="11"/>
  <c r="B63" i="9"/>
  <c r="B52" i="3"/>
  <c r="B27" i="7"/>
  <c r="B35" i="8"/>
  <c r="B43" i="9"/>
  <c r="B27" i="11"/>
  <c r="B27" i="3"/>
  <c r="B51" i="4"/>
  <c r="B20" i="11"/>
  <c r="B59" i="7"/>
  <c r="B35" i="10"/>
  <c r="B43" i="4"/>
  <c r="B51" i="7"/>
  <c r="B27" i="8"/>
  <c r="B35" i="9"/>
  <c r="B19" i="11"/>
  <c r="B27" i="10"/>
  <c r="B19" i="7"/>
  <c r="B35" i="4"/>
  <c r="B43" i="7"/>
  <c r="B51" i="8"/>
  <c r="B19" i="8"/>
  <c r="B19" i="9"/>
  <c r="B14" i="3"/>
  <c r="B27" i="4"/>
  <c r="B19" i="10"/>
  <c r="B59" i="3"/>
  <c r="AD18" i="2"/>
  <c r="AD67" i="2"/>
  <c r="AD68" i="2"/>
  <c r="I13" i="2"/>
  <c r="AD13" i="2" s="1"/>
  <c r="B28" i="10"/>
  <c r="B44" i="4"/>
  <c r="B36" i="8"/>
  <c r="B52" i="10"/>
  <c r="B52" i="7"/>
  <c r="B44" i="10"/>
  <c r="B14" i="9"/>
  <c r="B44" i="3"/>
  <c r="B63" i="10"/>
  <c r="B23" i="9"/>
  <c r="B15" i="10"/>
  <c r="B63" i="7"/>
  <c r="B39" i="3"/>
  <c r="B23" i="4"/>
  <c r="B55" i="8"/>
  <c r="B47" i="9"/>
  <c r="B61" i="3"/>
  <c r="B23" i="8"/>
  <c r="B47" i="11"/>
  <c r="B63" i="4"/>
  <c r="B39" i="4"/>
  <c r="B39" i="9"/>
  <c r="B55" i="10"/>
  <c r="B39" i="11"/>
  <c r="B15" i="3"/>
  <c r="B63" i="11"/>
  <c r="B23" i="7"/>
  <c r="B47" i="3"/>
  <c r="B63" i="8"/>
  <c r="B31" i="4"/>
  <c r="B39" i="8"/>
  <c r="B31" i="9"/>
  <c r="B23" i="10"/>
  <c r="B23" i="11"/>
  <c r="B26" i="9"/>
  <c r="B59" i="8"/>
  <c r="B55" i="9"/>
  <c r="B47" i="10"/>
  <c r="B31" i="11"/>
  <c r="B55" i="3"/>
  <c r="B67" i="10"/>
  <c r="B67" i="8"/>
  <c r="B67" i="4"/>
  <c r="B45" i="7"/>
  <c r="B43" i="3"/>
  <c r="B67" i="11"/>
  <c r="B67" i="9"/>
  <c r="B67" i="7"/>
  <c r="B44" i="7"/>
  <c r="B28" i="8"/>
  <c r="B20" i="9"/>
  <c r="B44" i="11"/>
  <c r="B18" i="3"/>
  <c r="B36" i="4"/>
  <c r="B20" i="4"/>
  <c r="B36" i="9"/>
  <c r="B60" i="10"/>
  <c r="B44" i="8"/>
  <c r="B52" i="9"/>
  <c r="B36" i="10"/>
  <c r="B36" i="11"/>
  <c r="B36" i="3"/>
  <c r="B52" i="4"/>
  <c r="B28" i="4"/>
  <c r="B20" i="8"/>
  <c r="B28" i="9"/>
  <c r="B58" i="11"/>
  <c r="B28" i="11"/>
  <c r="B28" i="3"/>
  <c r="B14" i="10"/>
  <c r="B26" i="4"/>
  <c r="B52" i="8"/>
  <c r="B42" i="9"/>
  <c r="B41" i="7"/>
  <c r="B34" i="11"/>
  <c r="B58" i="10"/>
  <c r="B66" i="4"/>
  <c r="B26" i="7"/>
  <c r="B34" i="3"/>
  <c r="B50" i="4"/>
  <c r="B24" i="7"/>
  <c r="B29" i="8"/>
  <c r="B18" i="8"/>
  <c r="B50" i="9"/>
  <c r="B50" i="11"/>
  <c r="B45" i="3"/>
  <c r="B29" i="3"/>
  <c r="B50" i="3"/>
  <c r="B48" i="4"/>
  <c r="B32" i="4"/>
  <c r="B50" i="7"/>
  <c r="B53" i="8"/>
  <c r="B40" i="8"/>
  <c r="B16" i="8"/>
  <c r="B48" i="9"/>
  <c r="B50" i="10"/>
  <c r="B18" i="11"/>
  <c r="B18" i="9"/>
  <c r="B16" i="10"/>
  <c r="B26" i="11"/>
  <c r="B34" i="7"/>
  <c r="B18" i="7"/>
  <c r="B37" i="8"/>
  <c r="B24" i="8"/>
  <c r="B16" i="9"/>
  <c r="B32" i="10"/>
  <c r="B42" i="11"/>
  <c r="B42" i="3"/>
  <c r="B58" i="7"/>
  <c r="B34" i="8"/>
  <c r="B42" i="10"/>
  <c r="B18" i="4"/>
  <c r="B48" i="7"/>
  <c r="B32" i="9"/>
  <c r="B48" i="10"/>
  <c r="B34" i="10"/>
  <c r="B58" i="3"/>
  <c r="B58" i="4"/>
  <c r="B42" i="4"/>
  <c r="B32" i="7"/>
  <c r="B58" i="9"/>
  <c r="B53" i="3"/>
  <c r="B47" i="4"/>
  <c r="B34" i="4"/>
  <c r="B42" i="7"/>
  <c r="B31" i="7"/>
  <c r="B31" i="8"/>
  <c r="B57" i="9"/>
  <c r="B59" i="10"/>
  <c r="B51" i="11"/>
  <c r="B57" i="3"/>
  <c r="B66" i="7"/>
  <c r="B65" i="7"/>
  <c r="B33" i="11"/>
  <c r="B15" i="4"/>
  <c r="B26" i="8"/>
  <c r="B15" i="8"/>
  <c r="B51" i="9"/>
  <c r="B17" i="9"/>
  <c r="B51" i="10"/>
  <c r="B26" i="10"/>
  <c r="B37" i="3"/>
  <c r="B61" i="8"/>
  <c r="B57" i="8"/>
  <c r="B25" i="3"/>
  <c r="B20" i="3"/>
  <c r="B20" i="7"/>
  <c r="B66" i="10"/>
  <c r="B66" i="11"/>
  <c r="B66" i="8"/>
  <c r="B66" i="3"/>
  <c r="B49" i="4"/>
  <c r="B17" i="4"/>
  <c r="B33" i="10"/>
  <c r="B65" i="3"/>
  <c r="B25" i="4"/>
  <c r="B25" i="9"/>
  <c r="B41" i="10"/>
  <c r="B57" i="11"/>
  <c r="B65" i="8"/>
  <c r="B57" i="4"/>
  <c r="B17" i="7"/>
  <c r="B17" i="8"/>
  <c r="B17" i="11"/>
  <c r="B33" i="3"/>
  <c r="B33" i="4"/>
  <c r="B25" i="8"/>
  <c r="B33" i="9"/>
  <c r="B49" i="10"/>
  <c r="B17" i="10"/>
  <c r="B41" i="11"/>
  <c r="B65" i="9"/>
  <c r="B49" i="7"/>
  <c r="B25" i="7"/>
  <c r="B33" i="8"/>
  <c r="B41" i="3"/>
  <c r="B65" i="10"/>
  <c r="B41" i="4"/>
  <c r="B57" i="7"/>
  <c r="B41" i="8"/>
  <c r="B25" i="10"/>
  <c r="B49" i="8"/>
  <c r="B49" i="9"/>
  <c r="B49" i="11"/>
  <c r="B65" i="11"/>
  <c r="D56" i="11"/>
  <c r="D56" i="3"/>
  <c r="D18" i="11"/>
  <c r="D18" i="3"/>
  <c r="D44" i="11"/>
  <c r="D44" i="3"/>
  <c r="D24" i="11"/>
  <c r="D24" i="3"/>
  <c r="D50" i="11"/>
  <c r="D50" i="3"/>
  <c r="D20" i="11"/>
  <c r="D20" i="3"/>
  <c r="D52" i="11"/>
  <c r="D52" i="3"/>
  <c r="D40" i="11"/>
  <c r="D40" i="3"/>
  <c r="D28" i="11"/>
  <c r="D28" i="3"/>
  <c r="D34" i="11"/>
  <c r="D34" i="3"/>
  <c r="D60" i="11"/>
  <c r="D60" i="3"/>
  <c r="G66" i="4"/>
  <c r="G66" i="7"/>
  <c r="G66" i="8"/>
  <c r="D66" i="11"/>
  <c r="G66" i="11" s="1"/>
  <c r="D66" i="3"/>
  <c r="G66" i="3" s="1"/>
  <c r="D36" i="11"/>
  <c r="D36" i="3"/>
  <c r="G68" i="4"/>
  <c r="G68" i="7"/>
  <c r="G68" i="8"/>
  <c r="D68" i="11"/>
  <c r="G68" i="11" s="1"/>
  <c r="D68" i="3"/>
  <c r="G68" i="3" s="1"/>
  <c r="D22" i="11"/>
  <c r="D22" i="3"/>
  <c r="D27" i="11"/>
  <c r="D27" i="3"/>
  <c r="D38" i="3"/>
  <c r="D38" i="11"/>
  <c r="D43" i="11"/>
  <c r="D43" i="3"/>
  <c r="D54" i="3"/>
  <c r="D54" i="11"/>
  <c r="D59" i="11"/>
  <c r="D59" i="3"/>
  <c r="D70" i="11"/>
  <c r="D70" i="3"/>
  <c r="D17" i="11"/>
  <c r="D17" i="3"/>
  <c r="D33" i="11"/>
  <c r="D33" i="3"/>
  <c r="D49" i="11"/>
  <c r="D49" i="3"/>
  <c r="G65" i="4"/>
  <c r="G65" i="7"/>
  <c r="D65" i="11"/>
  <c r="G65" i="11" s="1"/>
  <c r="D65" i="3"/>
  <c r="G65" i="3" s="1"/>
  <c r="D23" i="11"/>
  <c r="D23" i="3"/>
  <c r="D39" i="11"/>
  <c r="D39" i="3"/>
  <c r="D55" i="11"/>
  <c r="D55" i="3"/>
  <c r="D29" i="11"/>
  <c r="D29" i="3"/>
  <c r="D45" i="11"/>
  <c r="D45" i="3"/>
  <c r="G61" i="4"/>
  <c r="G61" i="7"/>
  <c r="G61" i="8"/>
  <c r="D61" i="11"/>
  <c r="G61" i="11" s="1"/>
  <c r="D61" i="3"/>
  <c r="D14" i="4"/>
  <c r="G14" i="4" s="1"/>
  <c r="D14" i="7"/>
  <c r="D14" i="8"/>
  <c r="D14" i="9"/>
  <c r="D14" i="10"/>
  <c r="D14" i="11"/>
  <c r="D14" i="3"/>
  <c r="D19" i="11"/>
  <c r="D19" i="3"/>
  <c r="D30" i="3"/>
  <c r="D30" i="11"/>
  <c r="D35" i="11"/>
  <c r="D35" i="3"/>
  <c r="D46" i="11"/>
  <c r="D46" i="3"/>
  <c r="D51" i="11"/>
  <c r="D51" i="3"/>
  <c r="G62" i="7"/>
  <c r="G62" i="8"/>
  <c r="D62" i="11"/>
  <c r="G62" i="11" s="1"/>
  <c r="D62" i="3"/>
  <c r="G62" i="3" s="1"/>
  <c r="G62" i="4"/>
  <c r="G67" i="4"/>
  <c r="G67" i="7"/>
  <c r="G67" i="8"/>
  <c r="D67" i="11"/>
  <c r="G67" i="11" s="1"/>
  <c r="D67" i="3"/>
  <c r="G67" i="3" s="1"/>
  <c r="D25" i="11"/>
  <c r="D25" i="3"/>
  <c r="D41" i="11"/>
  <c r="D41" i="3"/>
  <c r="D57" i="11"/>
  <c r="D57" i="3"/>
  <c r="D15" i="11"/>
  <c r="D15" i="3"/>
  <c r="D26" i="11"/>
  <c r="D26" i="3"/>
  <c r="D31" i="11"/>
  <c r="D31" i="3"/>
  <c r="D42" i="11"/>
  <c r="D42" i="3"/>
  <c r="D47" i="11"/>
  <c r="D47" i="3"/>
  <c r="D58" i="11"/>
  <c r="D58" i="3"/>
  <c r="D63" i="11"/>
  <c r="D63" i="3"/>
  <c r="D16" i="11"/>
  <c r="D16" i="3"/>
  <c r="D21" i="11"/>
  <c r="D21" i="3"/>
  <c r="D32" i="11"/>
  <c r="D32" i="3"/>
  <c r="D37" i="11"/>
  <c r="D37" i="3"/>
  <c r="D48" i="11"/>
  <c r="D48" i="3"/>
  <c r="D53" i="11"/>
  <c r="D53" i="3"/>
  <c r="G64" i="4"/>
  <c r="G64" i="7"/>
  <c r="G64" i="8"/>
  <c r="D64" i="11"/>
  <c r="G64" i="11" s="1"/>
  <c r="D64" i="3"/>
  <c r="G64" i="3" s="1"/>
  <c r="G69" i="4"/>
  <c r="G69" i="7"/>
  <c r="G69" i="8"/>
  <c r="D69" i="11"/>
  <c r="G69" i="11" s="1"/>
  <c r="D69" i="3"/>
  <c r="G69" i="3" s="1"/>
  <c r="F70" i="3"/>
  <c r="B48" i="11"/>
  <c r="B24" i="3"/>
  <c r="B64" i="3"/>
  <c r="B64" i="9"/>
  <c r="B32" i="3"/>
  <c r="B64" i="11"/>
  <c r="B40" i="3"/>
  <c r="B62" i="3"/>
  <c r="B64" i="8"/>
  <c r="B60" i="9"/>
  <c r="B62" i="8"/>
  <c r="B60" i="4"/>
  <c r="B60" i="7"/>
  <c r="B60" i="8"/>
  <c r="B29" i="7"/>
  <c r="B53" i="11"/>
  <c r="B29" i="11"/>
  <c r="B21" i="11"/>
  <c r="B62" i="11"/>
  <c r="B64" i="10"/>
  <c r="B62" i="7"/>
  <c r="B64" i="4"/>
  <c r="B45" i="11"/>
  <c r="B54" i="4"/>
  <c r="B46" i="4"/>
  <c r="B38" i="4"/>
  <c r="B30" i="4"/>
  <c r="B22" i="4"/>
  <c r="B56" i="9"/>
  <c r="B54" i="10"/>
  <c r="B46" i="10"/>
  <c r="B38" i="10"/>
  <c r="B30" i="10"/>
  <c r="B22" i="10"/>
  <c r="B61" i="11"/>
  <c r="B61" i="7"/>
  <c r="B46" i="7"/>
  <c r="B22" i="7"/>
  <c r="B54" i="11"/>
  <c r="B38" i="11"/>
  <c r="B22" i="11"/>
  <c r="B53" i="7"/>
  <c r="B37" i="7"/>
  <c r="B21" i="7"/>
  <c r="B37" i="11"/>
  <c r="B53" i="4"/>
  <c r="B45" i="4"/>
  <c r="B37" i="4"/>
  <c r="B29" i="4"/>
  <c r="B21" i="4"/>
  <c r="B45" i="10"/>
  <c r="B37" i="10"/>
  <c r="B29" i="10"/>
  <c r="B60" i="11"/>
  <c r="B62" i="10"/>
  <c r="B62" i="4"/>
  <c r="B38" i="7"/>
  <c r="B46" i="11"/>
  <c r="B30" i="11"/>
  <c r="B56" i="8"/>
  <c r="B54" i="9"/>
  <c r="B46" i="9"/>
  <c r="B38" i="9"/>
  <c r="B30" i="9"/>
  <c r="B22" i="9"/>
  <c r="B56" i="3"/>
  <c r="B61" i="10"/>
  <c r="B61" i="4"/>
  <c r="B56" i="4"/>
  <c r="B54" i="7"/>
  <c r="B30" i="7"/>
  <c r="B56" i="10"/>
  <c r="B56" i="7"/>
  <c r="B54" i="8"/>
  <c r="B46" i="8"/>
  <c r="B38" i="8"/>
  <c r="B30" i="8"/>
  <c r="B22" i="8"/>
  <c r="B14" i="8"/>
  <c r="B14" i="7"/>
  <c r="B14" i="4"/>
  <c r="F68" i="7"/>
  <c r="F63" i="11"/>
  <c r="F62" i="11"/>
  <c r="F60" i="11"/>
  <c r="F65" i="4"/>
  <c r="F65" i="7"/>
  <c r="F64" i="3"/>
  <c r="F68" i="3"/>
  <c r="F70" i="4"/>
  <c r="F68" i="4"/>
  <c r="F67" i="4"/>
  <c r="F69" i="11"/>
  <c r="F61" i="11"/>
  <c r="F66" i="11"/>
  <c r="F67" i="7"/>
  <c r="F64" i="11"/>
  <c r="F62" i="3"/>
  <c r="F69" i="7"/>
  <c r="F66" i="7"/>
  <c r="F68" i="11"/>
  <c r="F59" i="3"/>
  <c r="F67" i="11"/>
  <c r="F65" i="11"/>
  <c r="F63" i="4"/>
  <c r="F62" i="4"/>
  <c r="F67" i="3"/>
  <c r="F63" i="7"/>
  <c r="F65" i="3"/>
  <c r="F60" i="4"/>
  <c r="F60" i="3"/>
  <c r="F63" i="3"/>
  <c r="F61" i="4"/>
  <c r="F62" i="7"/>
  <c r="F61" i="7"/>
  <c r="F60" i="7"/>
  <c r="F61" i="3"/>
  <c r="F69" i="3"/>
  <c r="F69" i="4"/>
  <c r="F70" i="11"/>
  <c r="F66" i="3"/>
  <c r="F66" i="4"/>
  <c r="F64" i="4"/>
  <c r="F64" i="7"/>
  <c r="D71" i="4"/>
  <c r="G71" i="4" s="1"/>
  <c r="AD70" i="2"/>
  <c r="A21" i="3"/>
  <c r="A22" i="3"/>
  <c r="A23" i="3"/>
  <c r="A24" i="3"/>
  <c r="A25" i="3"/>
  <c r="A26" i="3"/>
  <c r="A27" i="3"/>
  <c r="A28" i="3"/>
  <c r="A29" i="3"/>
  <c r="A30" i="3"/>
  <c r="F26" i="11"/>
  <c r="F28" i="11"/>
  <c r="F29" i="11"/>
  <c r="F30" i="11"/>
  <c r="F31" i="11"/>
  <c r="F32" i="11"/>
  <c r="F33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22" i="11"/>
  <c r="F23" i="11"/>
  <c r="F24" i="11"/>
  <c r="F25" i="11"/>
  <c r="F15" i="11"/>
  <c r="F16" i="11"/>
  <c r="F17" i="11"/>
  <c r="F18" i="11"/>
  <c r="F19" i="11"/>
  <c r="F20" i="11"/>
  <c r="F21" i="11"/>
  <c r="A7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C2" i="11"/>
  <c r="A7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C2" i="10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8" i="7"/>
  <c r="F59" i="7"/>
  <c r="F15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3" i="4"/>
  <c r="F44" i="4"/>
  <c r="F45" i="4"/>
  <c r="F46" i="4"/>
  <c r="F47" i="4"/>
  <c r="F48" i="4"/>
  <c r="F49" i="4"/>
  <c r="F50" i="4"/>
  <c r="F51" i="4"/>
  <c r="F52" i="4"/>
  <c r="F53" i="4"/>
  <c r="F54" i="4"/>
  <c r="F56" i="4"/>
  <c r="F57" i="4"/>
  <c r="F58" i="4"/>
  <c r="F59" i="4"/>
  <c r="A7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C2" i="9"/>
  <c r="A7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C2" i="8"/>
  <c r="A7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C2" i="7"/>
  <c r="A7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C2" i="4"/>
  <c r="F15" i="3"/>
  <c r="F16" i="3"/>
  <c r="F17" i="3"/>
  <c r="F18" i="3"/>
  <c r="F19" i="3"/>
  <c r="C2" i="3"/>
  <c r="L70" i="2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A52" i="3"/>
  <c r="A53" i="3"/>
  <c r="A54" i="3"/>
  <c r="A55" i="3"/>
  <c r="A56" i="3"/>
  <c r="A57" i="3"/>
  <c r="A58" i="3"/>
  <c r="A59" i="3"/>
  <c r="A60" i="3"/>
  <c r="A71" i="3"/>
  <c r="A15" i="3"/>
  <c r="A16" i="3"/>
  <c r="A17" i="3"/>
  <c r="A18" i="3"/>
  <c r="A19" i="3"/>
  <c r="A2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14" i="3"/>
  <c r="M5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65" i="8" l="1"/>
  <c r="G72" i="9"/>
  <c r="F55" i="4"/>
  <c r="F42" i="8"/>
  <c r="F34" i="11"/>
  <c r="F42" i="4"/>
  <c r="G19" i="8"/>
  <c r="F27" i="11"/>
  <c r="F14" i="11"/>
  <c r="F14" i="3"/>
  <c r="F72" i="3" s="1"/>
  <c r="F14" i="10"/>
  <c r="F14" i="7"/>
  <c r="F72" i="7" s="1"/>
  <c r="F14" i="9"/>
  <c r="F72" i="9" s="1"/>
  <c r="G73" i="4"/>
  <c r="G19" i="11"/>
  <c r="G71" i="7"/>
  <c r="G73" i="7" s="1"/>
  <c r="G71" i="11"/>
  <c r="G73" i="11" s="1"/>
  <c r="G19" i="4"/>
  <c r="G19" i="7"/>
  <c r="G71" i="8"/>
  <c r="G73" i="8" s="1"/>
  <c r="G19" i="3"/>
  <c r="G71" i="3"/>
  <c r="G73" i="3" s="1"/>
  <c r="G14" i="10"/>
  <c r="G72" i="10" s="1"/>
  <c r="G14" i="11"/>
  <c r="G14" i="8"/>
  <c r="G14" i="7"/>
  <c r="G14" i="3"/>
  <c r="F72" i="11" l="1"/>
  <c r="G15" i="8"/>
  <c r="AD14" i="2"/>
  <c r="F72" i="8"/>
  <c r="F72" i="4"/>
  <c r="F72" i="10"/>
  <c r="G15" i="3"/>
  <c r="G15" i="11"/>
  <c r="G15" i="7"/>
  <c r="G15" i="4"/>
  <c r="AD23" i="2"/>
  <c r="AD19" i="2"/>
  <c r="AD15" i="2"/>
  <c r="G17" i="3" l="1"/>
  <c r="AD16" i="2"/>
  <c r="G25" i="4"/>
  <c r="AD24" i="2"/>
  <c r="G18" i="11"/>
  <c r="AD17" i="2"/>
  <c r="AD25" i="2"/>
  <c r="G23" i="11"/>
  <c r="AD22" i="2"/>
  <c r="G22" i="4"/>
  <c r="AD21" i="2"/>
  <c r="G21" i="7"/>
  <c r="AD20" i="2"/>
  <c r="G22" i="7"/>
  <c r="G21" i="11"/>
  <c r="G16" i="11"/>
  <c r="G24" i="4"/>
  <c r="G24" i="8"/>
  <c r="G24" i="3"/>
  <c r="G24" i="11"/>
  <c r="G24" i="7"/>
  <c r="G20" i="11"/>
  <c r="G20" i="8"/>
  <c r="G20" i="3"/>
  <c r="G20" i="4"/>
  <c r="G20" i="7"/>
  <c r="G25" i="3"/>
  <c r="G25" i="11"/>
  <c r="G25" i="8"/>
  <c r="G25" i="7"/>
  <c r="G18" i="8"/>
  <c r="G18" i="7"/>
  <c r="G21" i="4"/>
  <c r="G18" i="3"/>
  <c r="G23" i="4"/>
  <c r="G23" i="8"/>
  <c r="G23" i="7"/>
  <c r="G23" i="3"/>
  <c r="G17" i="11"/>
  <c r="G21" i="8"/>
  <c r="G26" i="8"/>
  <c r="G26" i="4"/>
  <c r="G26" i="3"/>
  <c r="G26" i="7"/>
  <c r="G26" i="11"/>
  <c r="G22" i="11"/>
  <c r="G22" i="3"/>
  <c r="G22" i="8"/>
  <c r="G16" i="3"/>
  <c r="G16" i="8"/>
  <c r="G17" i="7"/>
  <c r="G17" i="4"/>
  <c r="G18" i="4"/>
  <c r="G17" i="8"/>
  <c r="G21" i="3"/>
  <c r="AD55" i="2"/>
  <c r="AD41" i="2"/>
  <c r="AD28" i="2"/>
  <c r="AD30" i="2"/>
  <c r="AD40" i="2"/>
  <c r="AD69" i="2"/>
  <c r="AD45" i="2"/>
  <c r="AD47" i="2"/>
  <c r="AD42" i="2"/>
  <c r="AD35" i="2"/>
  <c r="AD50" i="2"/>
  <c r="AD57" i="2"/>
  <c r="AD56" i="2"/>
  <c r="AD58" i="2"/>
  <c r="AD48" i="2"/>
  <c r="AD53" i="2"/>
  <c r="AD46" i="2"/>
  <c r="AD44" i="2"/>
  <c r="AD49" i="2"/>
  <c r="AD34" i="2"/>
  <c r="AD51" i="2"/>
  <c r="AD33" i="2"/>
  <c r="AD59" i="2"/>
  <c r="AD62" i="2"/>
  <c r="AD36" i="2"/>
  <c r="G39" i="4" l="1"/>
  <c r="AD38" i="2"/>
  <c r="AD32" i="2"/>
  <c r="G40" i="7"/>
  <c r="AD39" i="2"/>
  <c r="G56" i="4"/>
  <c r="G32" i="4"/>
  <c r="AD31" i="2"/>
  <c r="G55" i="11"/>
  <c r="AD54" i="2"/>
  <c r="G44" i="7"/>
  <c r="AD43" i="2"/>
  <c r="AD26" i="2"/>
  <c r="G28" i="7"/>
  <c r="AD27" i="2"/>
  <c r="G30" i="3"/>
  <c r="AD29" i="2"/>
  <c r="AD37" i="2"/>
  <c r="G53" i="4"/>
  <c r="AD52" i="2"/>
  <c r="G63" i="7"/>
  <c r="G63" i="4"/>
  <c r="G63" i="8"/>
  <c r="G63" i="11"/>
  <c r="G63" i="3"/>
  <c r="G70" i="7"/>
  <c r="G70" i="11"/>
  <c r="G70" i="8"/>
  <c r="G70" i="4"/>
  <c r="G70" i="3"/>
  <c r="G59" i="4"/>
  <c r="G49" i="7"/>
  <c r="G38" i="11"/>
  <c r="G40" i="8"/>
  <c r="G52" i="11"/>
  <c r="G43" i="3"/>
  <c r="G30" i="7"/>
  <c r="G30" i="8"/>
  <c r="G27" i="11"/>
  <c r="G44" i="8"/>
  <c r="G42" i="3"/>
  <c r="G42" i="4"/>
  <c r="G58" i="8"/>
  <c r="G58" i="11"/>
  <c r="G58" i="3"/>
  <c r="G58" i="7"/>
  <c r="G58" i="4"/>
  <c r="G37" i="3"/>
  <c r="G37" i="8"/>
  <c r="G37" i="7"/>
  <c r="G37" i="11"/>
  <c r="G37" i="4"/>
  <c r="G61" i="3"/>
  <c r="G47" i="8"/>
  <c r="G47" i="7"/>
  <c r="G47" i="4"/>
  <c r="G47" i="11"/>
  <c r="G47" i="3"/>
  <c r="G29" i="4"/>
  <c r="G29" i="3"/>
  <c r="G29" i="8"/>
  <c r="G29" i="7"/>
  <c r="G29" i="11"/>
  <c r="G35" i="7"/>
  <c r="G35" i="3"/>
  <c r="G35" i="8"/>
  <c r="G35" i="11"/>
  <c r="G35" i="4"/>
  <c r="G54" i="4"/>
  <c r="G54" i="8"/>
  <c r="G54" i="3"/>
  <c r="G54" i="7"/>
  <c r="G54" i="11"/>
  <c r="G34" i="11"/>
  <c r="G34" i="8"/>
  <c r="G34" i="4"/>
  <c r="G34" i="7"/>
  <c r="G34" i="3"/>
  <c r="G48" i="4"/>
  <c r="G48" i="11"/>
  <c r="G48" i="8"/>
  <c r="G48" i="3"/>
  <c r="G48" i="7"/>
  <c r="G51" i="3"/>
  <c r="G51" i="4"/>
  <c r="G51" i="8"/>
  <c r="G36" i="7"/>
  <c r="G36" i="3"/>
  <c r="G36" i="11"/>
  <c r="G46" i="8"/>
  <c r="G46" i="7"/>
  <c r="G31" i="3"/>
  <c r="G31" i="4"/>
  <c r="G31" i="7"/>
  <c r="G31" i="11"/>
  <c r="G55" i="7"/>
  <c r="G55" i="3"/>
  <c r="G55" i="4"/>
  <c r="G45" i="7"/>
  <c r="G45" i="8"/>
  <c r="G45" i="4"/>
  <c r="G45" i="3"/>
  <c r="G45" i="11"/>
  <c r="G36" i="4"/>
  <c r="G42" i="11"/>
  <c r="G31" i="8"/>
  <c r="G33" i="7"/>
  <c r="G33" i="11"/>
  <c r="G33" i="8"/>
  <c r="G33" i="3"/>
  <c r="G36" i="8"/>
  <c r="G53" i="8"/>
  <c r="G53" i="7"/>
  <c r="G51" i="11"/>
  <c r="G50" i="8"/>
  <c r="G50" i="7"/>
  <c r="G50" i="11"/>
  <c r="G50" i="3"/>
  <c r="G50" i="4"/>
  <c r="G56" i="7"/>
  <c r="G56" i="11"/>
  <c r="G56" i="8"/>
  <c r="G56" i="3"/>
  <c r="G44" i="4"/>
  <c r="G44" i="3"/>
  <c r="G57" i="7"/>
  <c r="G57" i="8"/>
  <c r="G57" i="4"/>
  <c r="G57" i="11"/>
  <c r="G40" i="11"/>
  <c r="G40" i="3"/>
  <c r="G40" i="4"/>
  <c r="G46" i="3"/>
  <c r="G27" i="8"/>
  <c r="G27" i="4"/>
  <c r="G27" i="7"/>
  <c r="G27" i="3"/>
  <c r="G46" i="4"/>
  <c r="G53" i="3"/>
  <c r="G55" i="8"/>
  <c r="G44" i="11"/>
  <c r="G53" i="11"/>
  <c r="G33" i="4"/>
  <c r="G28" i="3"/>
  <c r="G28" i="4"/>
  <c r="G28" i="8"/>
  <c r="G28" i="11"/>
  <c r="G43" i="11"/>
  <c r="G43" i="4"/>
  <c r="G43" i="8"/>
  <c r="G43" i="7"/>
  <c r="G38" i="4"/>
  <c r="G38" i="7"/>
  <c r="G32" i="3"/>
  <c r="G32" i="8"/>
  <c r="G32" i="11"/>
  <c r="G32" i="7"/>
  <c r="G30" i="11"/>
  <c r="G30" i="4"/>
  <c r="G49" i="4"/>
  <c r="G49" i="11"/>
  <c r="G49" i="3"/>
  <c r="G57" i="3"/>
  <c r="G49" i="8"/>
  <c r="G41" i="4"/>
  <c r="G41" i="11"/>
  <c r="G41" i="3"/>
  <c r="G41" i="8"/>
  <c r="G52" i="4"/>
  <c r="G52" i="3"/>
  <c r="G52" i="7"/>
  <c r="G52" i="8"/>
  <c r="G51" i="7"/>
  <c r="G38" i="8"/>
  <c r="G46" i="11"/>
  <c r="G42" i="7"/>
  <c r="G42" i="8"/>
  <c r="G39" i="7"/>
  <c r="G39" i="8"/>
  <c r="G39" i="3"/>
  <c r="G38" i="3"/>
  <c r="G39" i="11"/>
  <c r="G41" i="7"/>
  <c r="G59" i="8" l="1"/>
  <c r="G59" i="11"/>
  <c r="G59" i="7"/>
  <c r="G59" i="3"/>
  <c r="G60" i="7"/>
  <c r="G72" i="7" s="1"/>
  <c r="C11" i="7" s="1"/>
  <c r="G60" i="3"/>
  <c r="G60" i="11"/>
  <c r="G60" i="8"/>
  <c r="G60" i="4"/>
  <c r="G72" i="4" s="1"/>
  <c r="C11" i="4" s="1"/>
  <c r="AD71" i="2"/>
  <c r="G72" i="11" l="1"/>
  <c r="C11" i="11" s="1"/>
  <c r="G72" i="8"/>
  <c r="C11" i="8" s="1"/>
  <c r="C11" i="10"/>
  <c r="C11" i="9"/>
  <c r="G72" i="3"/>
  <c r="C11" i="3" s="1"/>
</calcChain>
</file>

<file path=xl/sharedStrings.xml><?xml version="1.0" encoding="utf-8"?>
<sst xmlns="http://schemas.openxmlformats.org/spreadsheetml/2006/main" count="372" uniqueCount="163">
  <si>
    <t>ファミリーマート</t>
    <phoneticPr fontId="4"/>
  </si>
  <si>
    <t>品名</t>
    <rPh sb="0" eb="2">
      <t>ヒンメイ</t>
    </rPh>
    <phoneticPr fontId="4"/>
  </si>
  <si>
    <t>賞味期限日数目安</t>
    <rPh sb="0" eb="4">
      <t>ショウミキゲン</t>
    </rPh>
    <rPh sb="4" eb="8">
      <t>ニッスウメヤス</t>
    </rPh>
    <phoneticPr fontId="4"/>
  </si>
  <si>
    <t>想定税込売価</t>
    <rPh sb="0" eb="2">
      <t>ソウテイ</t>
    </rPh>
    <rPh sb="2" eb="4">
      <t>ゼイコ</t>
    </rPh>
    <rPh sb="4" eb="6">
      <t>バイカ</t>
    </rPh>
    <phoneticPr fontId="4"/>
  </si>
  <si>
    <t>想定税込仕入額</t>
    <rPh sb="0" eb="2">
      <t>ソウテイ</t>
    </rPh>
    <rPh sb="2" eb="4">
      <t>ゼイコ</t>
    </rPh>
    <rPh sb="4" eb="6">
      <t>シイレ</t>
    </rPh>
    <rPh sb="6" eb="7">
      <t>ガク</t>
    </rPh>
    <phoneticPr fontId="4"/>
  </si>
  <si>
    <t>粗利益率</t>
    <rPh sb="0" eb="4">
      <t>アラリエキリツ</t>
    </rPh>
    <phoneticPr fontId="4"/>
  </si>
  <si>
    <t>バナナ</t>
    <phoneticPr fontId="4"/>
  </si>
  <si>
    <t>玉ねぎ</t>
    <rPh sb="0" eb="1">
      <t>タマ</t>
    </rPh>
    <phoneticPr fontId="4"/>
  </si>
  <si>
    <t>人参</t>
    <rPh sb="0" eb="2">
      <t>ニンジン</t>
    </rPh>
    <phoneticPr fontId="4"/>
  </si>
  <si>
    <t>じゃが芋</t>
    <rPh sb="3" eb="4">
      <t>イモ</t>
    </rPh>
    <phoneticPr fontId="4"/>
  </si>
  <si>
    <t>胡瓜</t>
    <rPh sb="0" eb="2">
      <t>キュウリ</t>
    </rPh>
    <phoneticPr fontId="4"/>
  </si>
  <si>
    <t>トマト</t>
    <phoneticPr fontId="4"/>
  </si>
  <si>
    <t>ミディトマト</t>
    <phoneticPr fontId="4"/>
  </si>
  <si>
    <t>ミニトマト</t>
    <phoneticPr fontId="4"/>
  </si>
  <si>
    <t>ネギ</t>
    <phoneticPr fontId="4"/>
  </si>
  <si>
    <t>ピーマン</t>
    <phoneticPr fontId="4"/>
  </si>
  <si>
    <t>キャベツ</t>
    <phoneticPr fontId="4"/>
  </si>
  <si>
    <t>白菜1/4</t>
    <rPh sb="0" eb="2">
      <t>ハクサイ</t>
    </rPh>
    <phoneticPr fontId="4"/>
  </si>
  <si>
    <t>大根</t>
    <rPh sb="0" eb="2">
      <t>ダイコン</t>
    </rPh>
    <phoneticPr fontId="4"/>
  </si>
  <si>
    <t>小松菜</t>
    <rPh sb="0" eb="3">
      <t>コマツナ</t>
    </rPh>
    <phoneticPr fontId="4"/>
  </si>
  <si>
    <t>ほうれん草</t>
    <rPh sb="4" eb="5">
      <t>ソウ</t>
    </rPh>
    <phoneticPr fontId="4"/>
  </si>
  <si>
    <t>チンゲン菜</t>
    <rPh sb="4" eb="5">
      <t>サイ</t>
    </rPh>
    <phoneticPr fontId="4"/>
  </si>
  <si>
    <t>豆苗</t>
    <rPh sb="0" eb="2">
      <t>トウミョウ</t>
    </rPh>
    <phoneticPr fontId="4"/>
  </si>
  <si>
    <t>茄子</t>
    <rPh sb="0" eb="2">
      <t>ナス</t>
    </rPh>
    <phoneticPr fontId="2"/>
  </si>
  <si>
    <t>国産生姜</t>
    <rPh sb="0" eb="2">
      <t>コクサン</t>
    </rPh>
    <rPh sb="2" eb="4">
      <t>ショウガ</t>
    </rPh>
    <phoneticPr fontId="4"/>
  </si>
  <si>
    <t>アボカド</t>
    <phoneticPr fontId="4"/>
  </si>
  <si>
    <t>さつま芋</t>
    <rPh sb="3" eb="4">
      <t>イモ</t>
    </rPh>
    <phoneticPr fontId="4"/>
  </si>
  <si>
    <t>ごぼう</t>
    <phoneticPr fontId="4"/>
  </si>
  <si>
    <t>えのき茸</t>
    <rPh sb="3" eb="4">
      <t>タケ</t>
    </rPh>
    <phoneticPr fontId="4"/>
  </si>
  <si>
    <t>しめじ</t>
    <phoneticPr fontId="4"/>
  </si>
  <si>
    <t>しいたけ</t>
    <phoneticPr fontId="4"/>
  </si>
  <si>
    <t>まいたけ</t>
    <phoneticPr fontId="4"/>
  </si>
  <si>
    <t>エリンギ</t>
    <phoneticPr fontId="4"/>
  </si>
  <si>
    <t>なめこ</t>
    <phoneticPr fontId="4"/>
  </si>
  <si>
    <t>中国産ニンニク</t>
    <rPh sb="0" eb="2">
      <t>チュウゴク</t>
    </rPh>
    <rPh sb="2" eb="3">
      <t>サン</t>
    </rPh>
    <phoneticPr fontId="2"/>
  </si>
  <si>
    <t>レモン</t>
    <phoneticPr fontId="2"/>
  </si>
  <si>
    <t>キウイフルーツ</t>
    <phoneticPr fontId="4"/>
  </si>
  <si>
    <t>グレープフルーツ</t>
    <phoneticPr fontId="2"/>
  </si>
  <si>
    <t>大葉しそ</t>
    <rPh sb="0" eb="2">
      <t>オオバ</t>
    </rPh>
    <phoneticPr fontId="4"/>
  </si>
  <si>
    <t>リンゴ</t>
    <phoneticPr fontId="2"/>
  </si>
  <si>
    <t>落花生</t>
    <rPh sb="0" eb="3">
      <t>ラッカセイ</t>
    </rPh>
    <phoneticPr fontId="4"/>
  </si>
  <si>
    <t>柿</t>
    <rPh sb="0" eb="1">
      <t>カキ</t>
    </rPh>
    <phoneticPr fontId="2"/>
  </si>
  <si>
    <t>梨</t>
    <rPh sb="0" eb="1">
      <t>ナシ</t>
    </rPh>
    <phoneticPr fontId="2"/>
  </si>
  <si>
    <t>みかん</t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</si>
  <si>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</si>
  <si>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</si>
  <si>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国見ケ丘</t>
    <rPh sb="0" eb="4">
      <t>クニミガオカ</t>
    </rPh>
    <phoneticPr fontId="4"/>
  </si>
  <si>
    <t>八乙女</t>
    <rPh sb="0" eb="3">
      <t>ヤオトメ</t>
    </rPh>
    <phoneticPr fontId="2"/>
  </si>
  <si>
    <t>川平１丁</t>
    <rPh sb="0" eb="2">
      <t>カワタイラ</t>
    </rPh>
    <rPh sb="3" eb="4">
      <t>チョウ</t>
    </rPh>
    <phoneticPr fontId="2"/>
  </si>
  <si>
    <t>堤町</t>
    <rPh sb="0" eb="2">
      <t>ツツミマチ</t>
    </rPh>
    <phoneticPr fontId="2"/>
  </si>
  <si>
    <t>広瀬立町</t>
    <rPh sb="0" eb="2">
      <t>ヒロセ</t>
    </rPh>
    <rPh sb="2" eb="4">
      <t>タチマチ</t>
    </rPh>
    <phoneticPr fontId="2"/>
  </si>
  <si>
    <t>№</t>
    <phoneticPr fontId="2"/>
  </si>
  <si>
    <t>仙台市太白区秋保湯元字寺田原45-11</t>
    <rPh sb="0" eb="3">
      <t>センダイシ</t>
    </rPh>
    <rPh sb="3" eb="6">
      <t>タイハクク</t>
    </rPh>
    <rPh sb="6" eb="8">
      <t>アキウ</t>
    </rPh>
    <rPh sb="8" eb="10">
      <t>ユモト</t>
    </rPh>
    <rPh sb="10" eb="11">
      <t>ジ</t>
    </rPh>
    <rPh sb="11" eb="14">
      <t>テラダハラ</t>
    </rPh>
    <phoneticPr fontId="2"/>
  </si>
  <si>
    <t>　有 限 会 社　マ　ル　カ</t>
    <rPh sb="1" eb="2">
      <t>ユウ</t>
    </rPh>
    <rPh sb="3" eb="4">
      <t>ゲン</t>
    </rPh>
    <rPh sb="5" eb="6">
      <t>カイ</t>
    </rPh>
    <rPh sb="7" eb="8">
      <t>シャ</t>
    </rPh>
    <phoneticPr fontId="2"/>
  </si>
  <si>
    <t>下記のとおり納品いたしました</t>
    <rPh sb="0" eb="2">
      <t>カキ</t>
    </rPh>
    <rPh sb="6" eb="8">
      <t>ノウヒン</t>
    </rPh>
    <phoneticPr fontId="2"/>
  </si>
  <si>
    <t>TEL　022-398-2408</t>
    <phoneticPr fontId="2"/>
  </si>
  <si>
    <t>FAX　022-397-2817</t>
    <phoneticPr fontId="2"/>
  </si>
  <si>
    <t>堤町店　様</t>
    <rPh sb="0" eb="2">
      <t>ツツミマチ</t>
    </rPh>
    <rPh sb="2" eb="3">
      <t>テン</t>
    </rPh>
    <rPh sb="4" eb="5">
      <t>サマ</t>
    </rPh>
    <phoneticPr fontId="2"/>
  </si>
  <si>
    <t>広瀬立町店　様</t>
    <rPh sb="0" eb="2">
      <t>ヒロセ</t>
    </rPh>
    <rPh sb="2" eb="4">
      <t>タチマチ</t>
    </rPh>
    <rPh sb="4" eb="5">
      <t>テン</t>
    </rPh>
    <rPh sb="6" eb="7">
      <t>サマ</t>
    </rPh>
    <phoneticPr fontId="2"/>
  </si>
  <si>
    <t>A</t>
    <phoneticPr fontId="2"/>
  </si>
  <si>
    <t>B</t>
    <phoneticPr fontId="2"/>
  </si>
  <si>
    <t>A店　様</t>
    <rPh sb="1" eb="2">
      <t>テン</t>
    </rPh>
    <rPh sb="3" eb="4">
      <t>サマ</t>
    </rPh>
    <phoneticPr fontId="2"/>
  </si>
  <si>
    <t>B店　様</t>
    <rPh sb="1" eb="2">
      <t>テン</t>
    </rPh>
    <rPh sb="3" eb="4">
      <t>サマ</t>
    </rPh>
    <phoneticPr fontId="2"/>
  </si>
  <si>
    <t>品   名</t>
    <rPh sb="0" eb="1">
      <t>ヒン</t>
    </rPh>
    <rPh sb="4" eb="5">
      <t>ナ</t>
    </rPh>
    <phoneticPr fontId="4"/>
  </si>
  <si>
    <t>数 量</t>
    <rPh sb="0" eb="1">
      <t>カズ</t>
    </rPh>
    <rPh sb="2" eb="3">
      <t>リョウ</t>
    </rPh>
    <phoneticPr fontId="2"/>
  </si>
  <si>
    <t>納  品  書</t>
    <rPh sb="0" eb="1">
      <t>ノウ</t>
    </rPh>
    <rPh sb="3" eb="4">
      <t>ヒン</t>
    </rPh>
    <rPh sb="6" eb="7">
      <t>ショ</t>
    </rPh>
    <phoneticPr fontId="2"/>
  </si>
  <si>
    <t>合計(税込み)</t>
    <rPh sb="0" eb="2">
      <t>ゴウケイ</t>
    </rPh>
    <rPh sb="1" eb="2">
      <t>ケイ</t>
    </rPh>
    <rPh sb="3" eb="5">
      <t>ゼイコ</t>
    </rPh>
    <phoneticPr fontId="2"/>
  </si>
  <si>
    <t>数量</t>
    <rPh sb="0" eb="2">
      <t>スウリョウ</t>
    </rPh>
    <phoneticPr fontId="2"/>
  </si>
  <si>
    <t>【集計】</t>
    <rPh sb="1" eb="3">
      <t>シュウケイ</t>
    </rPh>
    <phoneticPr fontId="2"/>
  </si>
  <si>
    <t>金額</t>
    <rPh sb="0" eb="2">
      <t>キンガク</t>
    </rPh>
    <phoneticPr fontId="2"/>
  </si>
  <si>
    <t>送料</t>
    <rPh sb="0" eb="2">
      <t>ソウリョウ</t>
    </rPh>
    <phoneticPr fontId="2"/>
  </si>
  <si>
    <t>8％対象</t>
    <rPh sb="2" eb="4">
      <t>タイショウ</t>
    </rPh>
    <phoneticPr fontId="2"/>
  </si>
  <si>
    <t>10％対象</t>
    <rPh sb="3" eb="5">
      <t>タイショウ</t>
    </rPh>
    <phoneticPr fontId="2"/>
  </si>
  <si>
    <t>* 印は軽減税率8％対象商品となります。</t>
    <rPh sb="2" eb="3">
      <t>シルシ</t>
    </rPh>
    <rPh sb="4" eb="6">
      <t>ケイゲン</t>
    </rPh>
    <rPh sb="6" eb="8">
      <t>ゼイリツ</t>
    </rPh>
    <rPh sb="10" eb="12">
      <t>タイショウ</t>
    </rPh>
    <rPh sb="12" eb="14">
      <t>ショウヒン</t>
    </rPh>
    <phoneticPr fontId="2"/>
  </si>
  <si>
    <t>l;</t>
    <phoneticPr fontId="2"/>
  </si>
  <si>
    <t>売価</t>
    <rPh sb="0" eb="2">
      <t>バイカ</t>
    </rPh>
    <phoneticPr fontId="2"/>
  </si>
  <si>
    <t>原価</t>
    <rPh sb="0" eb="2">
      <t>ゲンカ</t>
    </rPh>
    <phoneticPr fontId="4"/>
  </si>
  <si>
    <t>金　額</t>
    <rPh sb="0" eb="1">
      <t>カネ</t>
    </rPh>
    <rPh sb="2" eb="3">
      <t>ガク</t>
    </rPh>
    <phoneticPr fontId="2"/>
  </si>
  <si>
    <t>単　価</t>
    <rPh sb="0" eb="1">
      <t>タン</t>
    </rPh>
    <rPh sb="2" eb="3">
      <t>アタイ</t>
    </rPh>
    <phoneticPr fontId="2"/>
  </si>
  <si>
    <r>
      <t xml:space="preserve">税込合計金額 </t>
    </r>
    <r>
      <rPr>
        <b/>
        <sz val="9"/>
        <color theme="1"/>
        <rFont val="Yu Gothic"/>
        <family val="3"/>
        <charset val="128"/>
        <scheme val="minor"/>
      </rPr>
      <t>( 原価合計）</t>
    </r>
    <rPh sb="0" eb="2">
      <t>ゼイコ</t>
    </rPh>
    <rPh sb="2" eb="6">
      <t>ゴウケイキンガク</t>
    </rPh>
    <phoneticPr fontId="2"/>
  </si>
  <si>
    <t>（消費税額等）</t>
    <rPh sb="1" eb="6">
      <t>ショウヒゼイガクトウ</t>
    </rPh>
    <phoneticPr fontId="2"/>
  </si>
  <si>
    <t>産地</t>
    <rPh sb="0" eb="2">
      <t>サンチ</t>
    </rPh>
    <phoneticPr fontId="2"/>
  </si>
  <si>
    <t>規格</t>
    <rPh sb="0" eb="2">
      <t>キカク</t>
    </rPh>
    <phoneticPr fontId="2"/>
  </si>
  <si>
    <t>保存</t>
    <rPh sb="0" eb="2">
      <t>ホゾン</t>
    </rPh>
    <phoneticPr fontId="2"/>
  </si>
  <si>
    <t>太め</t>
    <rPh sb="0" eb="1">
      <t>フト</t>
    </rPh>
    <phoneticPr fontId="4"/>
  </si>
  <si>
    <t>１本</t>
    <rPh sb="1" eb="2">
      <t>ホン</t>
    </rPh>
    <phoneticPr fontId="4"/>
  </si>
  <si>
    <t>常温</t>
    <rPh sb="0" eb="2">
      <t>ジョウオン</t>
    </rPh>
    <phoneticPr fontId="4"/>
  </si>
  <si>
    <t>パック</t>
    <phoneticPr fontId="4"/>
  </si>
  <si>
    <t>M</t>
    <phoneticPr fontId="4"/>
  </si>
  <si>
    <t>S~L</t>
    <phoneticPr fontId="4"/>
  </si>
  <si>
    <t>要冷</t>
    <rPh sb="0" eb="2">
      <t>ヨウレイ</t>
    </rPh>
    <phoneticPr fontId="4"/>
  </si>
  <si>
    <t>パック</t>
    <phoneticPr fontId="2"/>
  </si>
  <si>
    <t>1個</t>
    <rPh sb="1" eb="2">
      <t>コ</t>
    </rPh>
    <phoneticPr fontId="2"/>
  </si>
  <si>
    <t>袋</t>
    <rPh sb="0" eb="1">
      <t>フクロ</t>
    </rPh>
    <phoneticPr fontId="4"/>
  </si>
  <si>
    <t>宮城</t>
    <rPh sb="0" eb="2">
      <t>ミヤギ</t>
    </rPh>
    <phoneticPr fontId="4"/>
  </si>
  <si>
    <t>個</t>
    <rPh sb="0" eb="1">
      <t>コ</t>
    </rPh>
    <phoneticPr fontId="4"/>
  </si>
  <si>
    <t>両方</t>
    <rPh sb="0" eb="2">
      <t>リョウホウ</t>
    </rPh>
    <phoneticPr fontId="4"/>
  </si>
  <si>
    <t>100ｇ</t>
    <phoneticPr fontId="4"/>
  </si>
  <si>
    <t>米国</t>
    <rPh sb="0" eb="2">
      <t>ベイコク</t>
    </rPh>
    <phoneticPr fontId="2"/>
  </si>
  <si>
    <t>両方</t>
    <rPh sb="0" eb="2">
      <t>リョウホウ</t>
    </rPh>
    <phoneticPr fontId="2"/>
  </si>
  <si>
    <t>１０枚</t>
    <rPh sb="2" eb="3">
      <t>マイ</t>
    </rPh>
    <phoneticPr fontId="2"/>
  </si>
  <si>
    <t>ﾊﾟｯｸ</t>
    <phoneticPr fontId="2"/>
  </si>
  <si>
    <t>最小発注ロット</t>
    <rPh sb="0" eb="2">
      <t>サイショウ</t>
    </rPh>
    <rPh sb="2" eb="4">
      <t>ハッチュウ</t>
    </rPh>
    <phoneticPr fontId="4"/>
  </si>
  <si>
    <t>納品日：</t>
    <rPh sb="0" eb="3">
      <t>ノウヒンビ</t>
    </rPh>
    <phoneticPr fontId="2"/>
  </si>
  <si>
    <t>ファミリーマート様</t>
    <rPh sb="8" eb="9">
      <t>サマ</t>
    </rPh>
    <phoneticPr fontId="4"/>
  </si>
  <si>
    <t>発注数</t>
    <rPh sb="0" eb="3">
      <t>ハッチュウスウ</t>
    </rPh>
    <phoneticPr fontId="2"/>
  </si>
  <si>
    <t>計算表</t>
    <rPh sb="0" eb="3">
      <t>ケイサンヒョウ</t>
    </rPh>
    <phoneticPr fontId="2"/>
  </si>
  <si>
    <t>発　注　日 :</t>
    <rPh sb="0" eb="1">
      <t>ハッ</t>
    </rPh>
    <rPh sb="2" eb="3">
      <t>チュウ</t>
    </rPh>
    <rPh sb="4" eb="5">
      <t>ヒ</t>
    </rPh>
    <phoneticPr fontId="2"/>
  </si>
  <si>
    <t>納　品　日 :</t>
    <rPh sb="0" eb="1">
      <t>オサメ</t>
    </rPh>
    <rPh sb="2" eb="3">
      <t>ヒン</t>
    </rPh>
    <rPh sb="4" eb="5">
      <t>ヒ</t>
    </rPh>
    <phoneticPr fontId="2"/>
  </si>
  <si>
    <t>月　    　日  (　   　）</t>
    <phoneticPr fontId="2"/>
  </si>
  <si>
    <t>連絡先 ⇒ 080-5704-5653　担当：我妻</t>
    <rPh sb="0" eb="3">
      <t>レンラクサキ</t>
    </rPh>
    <rPh sb="20" eb="22">
      <t>タントウ</t>
    </rPh>
    <rPh sb="23" eb="25">
      <t>ワガツマ</t>
    </rPh>
    <phoneticPr fontId="2"/>
  </si>
  <si>
    <t>FAX  ⇒  022-355-9775</t>
    <phoneticPr fontId="2"/>
  </si>
  <si>
    <t>FAX注文必着日時</t>
    <rPh sb="3" eb="5">
      <t>チュウモン</t>
    </rPh>
    <rPh sb="5" eb="7">
      <t>ヒッチャク</t>
    </rPh>
    <rPh sb="7" eb="9">
      <t>ニチジ</t>
    </rPh>
    <phoneticPr fontId="4"/>
  </si>
  <si>
    <t>納品日</t>
    <rPh sb="0" eb="3">
      <t>ノウヒンヒ</t>
    </rPh>
    <phoneticPr fontId="4"/>
  </si>
  <si>
    <t>月曜日夜０時</t>
    <rPh sb="0" eb="3">
      <t>ゲツヨウビ</t>
    </rPh>
    <rPh sb="3" eb="4">
      <t>ヨル</t>
    </rPh>
    <rPh sb="5" eb="6">
      <t>ジ</t>
    </rPh>
    <phoneticPr fontId="4"/>
  </si>
  <si>
    <t>→</t>
    <phoneticPr fontId="4"/>
  </si>
  <si>
    <t>木曜日</t>
    <rPh sb="0" eb="3">
      <t>モクヨウビ</t>
    </rPh>
    <phoneticPr fontId="4"/>
  </si>
  <si>
    <t>木曜日夜０時</t>
    <rPh sb="0" eb="3">
      <t>モクヨウビ</t>
    </rPh>
    <rPh sb="3" eb="4">
      <t>ヨル</t>
    </rPh>
    <rPh sb="5" eb="6">
      <t>ジ</t>
    </rPh>
    <phoneticPr fontId="4"/>
  </si>
  <si>
    <t>土曜日</t>
    <rPh sb="0" eb="1">
      <t>ド</t>
    </rPh>
    <phoneticPr fontId="4"/>
  </si>
  <si>
    <t>日曜日夜０時</t>
    <rPh sb="0" eb="3">
      <t>ニチヨウヒ</t>
    </rPh>
    <rPh sb="3" eb="4">
      <t>ヨル</t>
    </rPh>
    <rPh sb="5" eb="6">
      <t>ジ</t>
    </rPh>
    <phoneticPr fontId="4"/>
  </si>
  <si>
    <t>火曜日</t>
    <rPh sb="0" eb="1">
      <t>カ</t>
    </rPh>
    <rPh sb="1" eb="3">
      <t>ヨウビ</t>
    </rPh>
    <phoneticPr fontId="4"/>
  </si>
  <si>
    <t>有効期限:</t>
    <rPh sb="0" eb="2">
      <t>ユウコウ</t>
    </rPh>
    <rPh sb="2" eb="4">
      <t>キゲン</t>
    </rPh>
    <phoneticPr fontId="2"/>
  </si>
  <si>
    <r>
      <rPr>
        <b/>
        <sz val="10"/>
        <color theme="1"/>
        <rFont val="Segoe UI Symbol"/>
        <family val="3"/>
      </rPr>
      <t>🍅</t>
    </r>
    <r>
      <rPr>
        <b/>
        <sz val="10"/>
        <color theme="1"/>
        <rFont val="Yu Gothic"/>
        <family val="3"/>
        <charset val="128"/>
        <scheme val="minor"/>
      </rPr>
      <t xml:space="preserve">  旬ベジ情報  </t>
    </r>
    <r>
      <rPr>
        <b/>
        <sz val="10"/>
        <color theme="1"/>
        <rFont val="Segoe UI Symbol"/>
        <family val="3"/>
      </rPr>
      <t>🍅</t>
    </r>
    <r>
      <rPr>
        <b/>
        <sz val="10"/>
        <color theme="1"/>
        <rFont val="Yu Gothic"/>
        <family val="3"/>
        <charset val="128"/>
        <scheme val="minor"/>
      </rPr>
      <t xml:space="preserve"> </t>
    </r>
    <rPh sb="6" eb="7">
      <t>シュン</t>
    </rPh>
    <rPh sb="10" eb="12">
      <t>ジョウホウ</t>
    </rPh>
    <phoneticPr fontId="2"/>
  </si>
  <si>
    <t>※ 店名のご記入をお願い致します。</t>
    <rPh sb="2" eb="4">
      <t>テンメイ</t>
    </rPh>
    <rPh sb="6" eb="8">
      <t>キニュウ</t>
    </rPh>
    <rPh sb="10" eb="11">
      <t>ネガ</t>
    </rPh>
    <rPh sb="12" eb="13">
      <t>イタ</t>
    </rPh>
    <phoneticPr fontId="2"/>
  </si>
  <si>
    <t>仙台上愛子</t>
    <rPh sb="0" eb="2">
      <t>センダイ</t>
    </rPh>
    <rPh sb="2" eb="5">
      <t>カミアヤシ</t>
    </rPh>
    <phoneticPr fontId="2"/>
  </si>
  <si>
    <t>仙台高野原</t>
    <rPh sb="0" eb="2">
      <t>センダイ</t>
    </rPh>
    <rPh sb="2" eb="5">
      <t>タカノハラ</t>
    </rPh>
    <phoneticPr fontId="2"/>
  </si>
  <si>
    <t>栗生4丁目</t>
    <rPh sb="0" eb="2">
      <t>クリュウ</t>
    </rPh>
    <rPh sb="3" eb="5">
      <t>チョウメ</t>
    </rPh>
    <phoneticPr fontId="2"/>
  </si>
  <si>
    <t>AA</t>
    <phoneticPr fontId="2"/>
  </si>
  <si>
    <t>BB</t>
    <phoneticPr fontId="2"/>
  </si>
  <si>
    <t>仙台上愛子店　様</t>
    <rPh sb="0" eb="2">
      <t>センダイ</t>
    </rPh>
    <rPh sb="2" eb="6">
      <t>カミアヤシテン</t>
    </rPh>
    <rPh sb="7" eb="8">
      <t>サマ</t>
    </rPh>
    <phoneticPr fontId="2"/>
  </si>
  <si>
    <t>仙台高野原店　様</t>
    <rPh sb="0" eb="2">
      <t>センダイ</t>
    </rPh>
    <rPh sb="2" eb="5">
      <t>タカノハラ</t>
    </rPh>
    <rPh sb="5" eb="6">
      <t>テン</t>
    </rPh>
    <rPh sb="7" eb="8">
      <t>サマ</t>
    </rPh>
    <phoneticPr fontId="2"/>
  </si>
  <si>
    <t>栗生4丁目店　様</t>
    <rPh sb="0" eb="2">
      <t>クリュウ</t>
    </rPh>
    <rPh sb="3" eb="5">
      <t>チョウメ</t>
    </rPh>
    <rPh sb="5" eb="6">
      <t>テン</t>
    </rPh>
    <rPh sb="7" eb="8">
      <t>サマ</t>
    </rPh>
    <phoneticPr fontId="2"/>
  </si>
  <si>
    <t>常温</t>
    <rPh sb="0" eb="2">
      <t>ジョウオン</t>
    </rPh>
    <phoneticPr fontId="2"/>
  </si>
  <si>
    <t>1/2カット</t>
    <phoneticPr fontId="2"/>
  </si>
  <si>
    <t>想定税込  仕入額</t>
    <rPh sb="0" eb="2">
      <t>ソウテイ</t>
    </rPh>
    <rPh sb="2" eb="4">
      <t>ゼイコ</t>
    </rPh>
    <rPh sb="6" eb="8">
      <t>シイレ</t>
    </rPh>
    <rPh sb="8" eb="9">
      <t>ガク</t>
    </rPh>
    <phoneticPr fontId="4"/>
  </si>
  <si>
    <t>店 様</t>
    <rPh sb="0" eb="1">
      <t>テン</t>
    </rPh>
    <rPh sb="2" eb="3">
      <t>サマ</t>
    </rPh>
    <phoneticPr fontId="2"/>
  </si>
  <si>
    <t>要冷</t>
    <rPh sb="0" eb="2">
      <t>ヨウレイ</t>
    </rPh>
    <phoneticPr fontId="2"/>
  </si>
  <si>
    <t>２個</t>
    <rPh sb="1" eb="2">
      <t>コ</t>
    </rPh>
    <phoneticPr fontId="2"/>
  </si>
  <si>
    <t>今週もどうぞよろしくお願いいたします。</t>
    <rPh sb="0" eb="2">
      <t>コンシュウ</t>
    </rPh>
    <rPh sb="11" eb="12">
      <t>ネガ</t>
    </rPh>
    <phoneticPr fontId="2"/>
  </si>
  <si>
    <t>いつもお世話になっております。ありがとうございます。</t>
    <rPh sb="4" eb="6">
      <t>セワ</t>
    </rPh>
    <phoneticPr fontId="2"/>
  </si>
  <si>
    <t>じゃが芋</t>
    <rPh sb="3" eb="4">
      <t>イモ</t>
    </rPh>
    <phoneticPr fontId="2"/>
  </si>
  <si>
    <t>秋の果物が豊富な時期になってきました</t>
    <rPh sb="0" eb="1">
      <t>アキ</t>
    </rPh>
    <rPh sb="2" eb="4">
      <t>クダモノ</t>
    </rPh>
    <rPh sb="5" eb="7">
      <t>ホウフ</t>
    </rPh>
    <rPh sb="8" eb="10">
      <t>ジキ</t>
    </rPh>
    <phoneticPr fontId="2"/>
  </si>
  <si>
    <t>3個</t>
    <rPh sb="1" eb="2">
      <t>コ</t>
    </rPh>
    <phoneticPr fontId="2"/>
  </si>
  <si>
    <t>本</t>
    <rPh sb="0" eb="1">
      <t>ホン</t>
    </rPh>
    <phoneticPr fontId="4"/>
  </si>
  <si>
    <t>3個入り</t>
    <rPh sb="1" eb="3">
      <t>コイ</t>
    </rPh>
    <phoneticPr fontId="2"/>
  </si>
  <si>
    <t>人参（冷蔵保存）</t>
    <rPh sb="0" eb="2">
      <t>ニンジン</t>
    </rPh>
    <rPh sb="3" eb="5">
      <t>レイゾウ</t>
    </rPh>
    <rPh sb="5" eb="7">
      <t>ホゾン</t>
    </rPh>
    <phoneticPr fontId="4"/>
  </si>
  <si>
    <r>
      <t>ネギ(</t>
    </r>
    <r>
      <rPr>
        <sz val="11"/>
        <color theme="1"/>
        <rFont val="Yu Gothic"/>
        <family val="3"/>
        <charset val="128"/>
      </rPr>
      <t>１本）</t>
    </r>
    <rPh sb="4" eb="5">
      <t>ホン</t>
    </rPh>
    <phoneticPr fontId="4"/>
  </si>
  <si>
    <t>トマト</t>
    <phoneticPr fontId="2"/>
  </si>
  <si>
    <t>ミニトマト</t>
    <phoneticPr fontId="2"/>
  </si>
  <si>
    <t>大根1/2</t>
    <rPh sb="0" eb="2">
      <t>ダイコン</t>
    </rPh>
    <phoneticPr fontId="2"/>
  </si>
  <si>
    <t>レタス</t>
    <phoneticPr fontId="4"/>
  </si>
  <si>
    <t>3本</t>
    <rPh sb="1" eb="2">
      <t>ホン</t>
    </rPh>
    <phoneticPr fontId="2"/>
  </si>
  <si>
    <t>白菜1/2</t>
    <rPh sb="0" eb="2">
      <t>ハクサイ</t>
    </rPh>
    <phoneticPr fontId="4"/>
  </si>
  <si>
    <t>甘夏</t>
    <rPh sb="0" eb="2">
      <t>アマナツ</t>
    </rPh>
    <phoneticPr fontId="4"/>
  </si>
  <si>
    <t>2個</t>
    <rPh sb="1" eb="2">
      <t>コ</t>
    </rPh>
    <phoneticPr fontId="4"/>
  </si>
  <si>
    <t>4個</t>
    <rPh sb="1" eb="2">
      <t>コ</t>
    </rPh>
    <phoneticPr fontId="2"/>
  </si>
  <si>
    <t>2個</t>
    <rPh sb="1" eb="2">
      <t>コ</t>
    </rPh>
    <phoneticPr fontId="2"/>
  </si>
  <si>
    <t>新玉ねぎ</t>
    <rPh sb="0" eb="1">
      <t>シン</t>
    </rPh>
    <rPh sb="1" eb="2">
      <t>タマ</t>
    </rPh>
    <phoneticPr fontId="2"/>
  </si>
  <si>
    <t>5個</t>
    <rPh sb="1" eb="2">
      <t>コ</t>
    </rPh>
    <phoneticPr fontId="2"/>
  </si>
  <si>
    <t>メロン</t>
    <phoneticPr fontId="2"/>
  </si>
  <si>
    <t>温州みかん</t>
    <rPh sb="0" eb="2">
      <t>オンシュウ</t>
    </rPh>
    <phoneticPr fontId="2"/>
  </si>
  <si>
    <t>オレンジ2個</t>
    <rPh sb="5" eb="6">
      <t>コ</t>
    </rPh>
    <phoneticPr fontId="2"/>
  </si>
  <si>
    <t>ソルダム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</si>
</sst>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m&quot;月&quot;d&quot;日&quot;\ &quot;迄&quot;"/>
    <numFmt numFmtId="177" formatCode="[$]ggge&quot;年&quot;m&quot;月&quot;d&quot;日&quot;;@" x16r2:formatCode16="[$-ja-JP-x-gannen]ggge&quot;年&quot;m&quot;月&quot;d&quot;日&quot;;@"/>
    <numFmt numFmtId="178" formatCode="@&quot;*&quot;"/>
    <numFmt numFmtId="179" formatCode="[$-411]ggge&quot;年&quot;m&quot;月&quot;d&quot;日&quot;\(aaa\)"/>
    <numFmt numFmtId="180" formatCode="#,##0_ ;[Red]\-#,##0\ "/>
    <numFmt numFmtId="181" formatCode="m&quot;月&quot;d&quot;日&quot;\ &quot;～&quot;"/>
  </numFmts>
  <fonts count="4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2"/>
      <scheme val="minor"/>
    </font>
    <font>
      <b/>
      <sz val="10"/>
      <color theme="1"/>
      <name val="Yu Gothic"/>
      <family val="3"/>
      <charset val="128"/>
      <scheme val="minor"/>
    </font>
    <font>
      <b/>
      <sz val="7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2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11"/>
      <color indexed="8"/>
      <name val="Yu Gothic"/>
      <family val="3"/>
      <charset val="128"/>
      <scheme val="minor"/>
    </font>
    <font>
      <b/>
      <sz val="9"/>
      <color indexed="8"/>
      <name val="Yu Gothic"/>
      <family val="3"/>
      <charset val="128"/>
      <scheme val="minor"/>
    </font>
    <font>
      <sz val="10"/>
      <color indexed="8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3"/>
      <color theme="1"/>
      <name val="Yu Gothic"/>
      <family val="3"/>
      <charset val="128"/>
      <scheme val="minor"/>
    </font>
    <font>
      <sz val="7"/>
      <color theme="1"/>
      <name val="Yu Gothic"/>
      <family val="2"/>
      <scheme val="minor"/>
    </font>
    <font>
      <sz val="11"/>
      <color theme="1"/>
      <name val="Yu Gothic"/>
      <family val="2"/>
    </font>
    <font>
      <sz val="6"/>
      <color theme="1"/>
      <name val="Yu Gothic"/>
      <family val="3"/>
      <charset val="128"/>
      <scheme val="minor"/>
    </font>
    <font>
      <b/>
      <sz val="10"/>
      <color theme="1"/>
      <name val="Segoe UI Symbol"/>
      <family val="3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2"/>
      <color rgb="FFFF000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  <font>
      <sz val="12.5"/>
      <color theme="1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1"/>
      <color theme="1"/>
      <name val="HGPｺﾞｼｯｸM"/>
      <family val="3"/>
      <charset val="128"/>
    </font>
    <font>
      <sz val="11.5"/>
      <color theme="1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sz val="13.5"/>
      <color theme="1"/>
      <name val="Meiryo UI"/>
      <family val="3"/>
      <charset val="128"/>
    </font>
    <font>
      <sz val="12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11"/>
      <color theme="1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56" fontId="9" fillId="0" borderId="1" xfId="0" applyNumberFormat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56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shrinkToFit="1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38" fontId="0" fillId="0" borderId="2" xfId="1" applyFont="1" applyBorder="1">
      <alignment vertical="center"/>
    </xf>
    <xf numFmtId="9" fontId="0" fillId="0" borderId="2" xfId="2" applyFont="1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Border="1">
      <alignment vertical="center"/>
    </xf>
    <xf numFmtId="9" fontId="0" fillId="0" borderId="0" xfId="2" applyFont="1" applyBorder="1">
      <alignment vertical="center"/>
    </xf>
    <xf numFmtId="0" fontId="12" fillId="2" borderId="2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38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38" fontId="0" fillId="0" borderId="2" xfId="0" applyNumberFormat="1" applyBorder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2" fillId="0" borderId="3" xfId="0" applyFont="1" applyBorder="1"/>
    <xf numFmtId="0" fontId="13" fillId="0" borderId="3" xfId="0" applyFont="1" applyBorder="1"/>
    <xf numFmtId="0" fontId="19" fillId="0" borderId="0" xfId="0" applyFont="1" applyAlignment="1">
      <alignment horizontal="center" shrinkToFit="1"/>
    </xf>
    <xf numFmtId="0" fontId="19" fillId="0" borderId="0" xfId="0" applyFont="1"/>
    <xf numFmtId="0" fontId="0" fillId="0" borderId="6" xfId="0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38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38" fontId="0" fillId="0" borderId="2" xfId="0" applyNumberForma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38" fontId="21" fillId="0" borderId="2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8" fontId="21" fillId="0" borderId="4" xfId="0" applyNumberFormat="1" applyFont="1" applyBorder="1" applyAlignment="1">
      <alignment vertical="center"/>
    </xf>
    <xf numFmtId="38" fontId="10" fillId="0" borderId="4" xfId="0" applyNumberFormat="1" applyFont="1" applyBorder="1" applyAlignment="1">
      <alignment vertical="center"/>
    </xf>
    <xf numFmtId="38" fontId="17" fillId="0" borderId="0" xfId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38" fontId="17" fillId="0" borderId="2" xfId="1" applyFont="1" applyBorder="1" applyAlignment="1" applyProtection="1">
      <alignment vertical="center"/>
    </xf>
    <xf numFmtId="38" fontId="6" fillId="5" borderId="2" xfId="1" applyFont="1" applyFill="1" applyBorder="1" applyAlignment="1" applyProtection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2" applyFont="1" applyBorder="1" applyProtection="1">
      <alignment vertical="center"/>
    </xf>
    <xf numFmtId="38" fontId="0" fillId="0" borderId="2" xfId="0" applyNumberForma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 shrinkToFit="1"/>
    </xf>
    <xf numFmtId="0" fontId="17" fillId="2" borderId="2" xfId="0" applyFont="1" applyFill="1" applyBorder="1" applyAlignment="1">
      <alignment horizontal="center" vertical="center" shrinkToFit="1"/>
    </xf>
    <xf numFmtId="56" fontId="13" fillId="2" borderId="2" xfId="0" applyNumberFormat="1" applyFont="1" applyFill="1" applyBorder="1" applyAlignment="1">
      <alignment horizontal="center" vertical="center" shrinkToFit="1"/>
    </xf>
    <xf numFmtId="0" fontId="17" fillId="5" borderId="2" xfId="0" applyFont="1" applyFill="1" applyBorder="1" applyAlignment="1">
      <alignment horizontal="center" vertical="center"/>
    </xf>
    <xf numFmtId="38" fontId="17" fillId="5" borderId="2" xfId="1" applyFont="1" applyFill="1" applyBorder="1" applyAlignment="1" applyProtection="1">
      <alignment horizontal="center" vertical="center"/>
    </xf>
    <xf numFmtId="0" fontId="21" fillId="0" borderId="11" xfId="0" applyFont="1" applyBorder="1" applyAlignment="1">
      <alignment horizontal="center" vertical="center" shrinkToFi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/>
    </xf>
    <xf numFmtId="178" fontId="13" fillId="0" borderId="4" xfId="0" applyNumberFormat="1" applyFont="1" applyBorder="1" applyAlignment="1">
      <alignment vertical="center" shrinkToFit="1"/>
    </xf>
    <xf numFmtId="38" fontId="13" fillId="0" borderId="4" xfId="1" applyFont="1" applyBorder="1">
      <alignment vertical="center"/>
    </xf>
    <xf numFmtId="38" fontId="13" fillId="0" borderId="4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38" fontId="13" fillId="0" borderId="2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13" fillId="0" borderId="10" xfId="0" applyNumberFormat="1" applyFont="1" applyBorder="1" applyAlignment="1">
      <alignment vertical="center" shrinkToFit="1"/>
    </xf>
    <xf numFmtId="38" fontId="13" fillId="0" borderId="10" xfId="1" applyFont="1" applyBorder="1">
      <alignment vertical="center"/>
    </xf>
    <xf numFmtId="38" fontId="13" fillId="0" borderId="10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38" fontId="18" fillId="0" borderId="2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9" fillId="0" borderId="1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80" fontId="13" fillId="0" borderId="4" xfId="0" applyNumberFormat="1" applyFont="1" applyBorder="1" applyAlignment="1">
      <alignment vertical="center"/>
    </xf>
    <xf numFmtId="0" fontId="19" fillId="2" borderId="2" xfId="0" applyFont="1" applyFill="1" applyBorder="1" applyAlignment="1">
      <alignment horizontal="center" vertical="center" wrapText="1" shrinkToFit="1"/>
    </xf>
    <xf numFmtId="0" fontId="26" fillId="2" borderId="2" xfId="0" applyFont="1" applyFill="1" applyBorder="1" applyAlignment="1">
      <alignment horizontal="center" vertical="center" wrapText="1" shrinkToFit="1"/>
    </xf>
    <xf numFmtId="0" fontId="8" fillId="0" borderId="1" xfId="0" applyFont="1" applyBorder="1" applyAlignment="1" applyProtection="1">
      <alignment vertical="center"/>
      <protection locked="0"/>
    </xf>
    <xf numFmtId="0" fontId="17" fillId="2" borderId="9" xfId="0" applyFont="1" applyFill="1" applyBorder="1" applyAlignment="1">
      <alignment horizontal="center" vertical="center" shrinkToFit="1"/>
    </xf>
    <xf numFmtId="9" fontId="0" fillId="0" borderId="2" xfId="1" applyNumberFormat="1" applyFont="1" applyBorder="1" applyAlignment="1" applyProtection="1">
      <alignment vertical="center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56" fontId="17" fillId="0" borderId="2" xfId="0" applyNumberFormat="1" applyFont="1" applyBorder="1" applyAlignment="1" applyProtection="1">
      <alignment horizontal="center" vertical="center" shrinkToFit="1"/>
      <protection locked="0"/>
    </xf>
    <xf numFmtId="56" fontId="17" fillId="0" borderId="2" xfId="0" applyNumberFormat="1" applyFont="1" applyBorder="1" applyAlignment="1" applyProtection="1">
      <alignment horizontal="center" vertical="center"/>
      <protection locked="0"/>
    </xf>
    <xf numFmtId="179" fontId="3" fillId="3" borderId="1" xfId="0" applyNumberFormat="1" applyFont="1" applyFill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>
      <alignment horizontal="center" vertical="center"/>
    </xf>
    <xf numFmtId="0" fontId="27" fillId="0" borderId="0" xfId="0" applyFont="1" applyAlignment="1" applyProtection="1">
      <alignment vertical="center"/>
      <protection locked="0"/>
    </xf>
    <xf numFmtId="0" fontId="13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56" fontId="17" fillId="2" borderId="2" xfId="0" applyNumberFormat="1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wrapText="1" shrinkToFit="1"/>
    </xf>
    <xf numFmtId="0" fontId="12" fillId="0" borderId="0" xfId="0" applyFont="1" applyAlignment="1" applyProtection="1">
      <alignment vertical="center"/>
      <protection locked="0"/>
    </xf>
    <xf numFmtId="0" fontId="25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8" fillId="0" borderId="1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right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14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shrinkToFit="1"/>
    </xf>
    <xf numFmtId="38" fontId="21" fillId="0" borderId="14" xfId="0" applyNumberFormat="1" applyFont="1" applyBorder="1" applyAlignment="1">
      <alignment vertical="center"/>
    </xf>
    <xf numFmtId="0" fontId="21" fillId="0" borderId="16" xfId="0" applyFont="1" applyBorder="1" applyAlignment="1">
      <alignment horizontal="center" vertical="center" shrinkToFit="1"/>
    </xf>
    <xf numFmtId="38" fontId="10" fillId="0" borderId="14" xfId="0" applyNumberFormat="1" applyFont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 shrinkToFit="1"/>
    </xf>
    <xf numFmtId="38" fontId="5" fillId="0" borderId="2" xfId="1" applyFont="1" applyBorder="1" applyAlignment="1" applyProtection="1">
      <alignment vertical="center"/>
    </xf>
    <xf numFmtId="9" fontId="5" fillId="0" borderId="2" xfId="1" applyNumberFormat="1" applyFont="1" applyBorder="1" applyAlignment="1" applyProtection="1">
      <alignment vertical="center"/>
    </xf>
    <xf numFmtId="9" fontId="5" fillId="0" borderId="2" xfId="2" applyFont="1" applyBorder="1" applyProtection="1">
      <alignment vertical="center"/>
    </xf>
    <xf numFmtId="38" fontId="30" fillId="0" borderId="2" xfId="1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56" fontId="33" fillId="2" borderId="2" xfId="0" applyNumberFormat="1" applyFont="1" applyFill="1" applyBorder="1" applyAlignment="1">
      <alignment horizontal="center" vertical="center" shrinkToFit="1"/>
    </xf>
    <xf numFmtId="38" fontId="31" fillId="0" borderId="2" xfId="0" applyNumberFormat="1" applyFont="1" applyBorder="1" applyAlignment="1" applyProtection="1">
      <alignment horizontal="center" vertical="center"/>
      <protection locked="0"/>
    </xf>
    <xf numFmtId="38" fontId="31" fillId="0" borderId="2" xfId="0" applyNumberFormat="1" applyFont="1" applyBorder="1" applyAlignment="1">
      <alignment horizontal="center" vertical="center"/>
    </xf>
    <xf numFmtId="38" fontId="31" fillId="0" borderId="2" xfId="1" applyFont="1" applyFill="1" applyBorder="1" applyAlignment="1" applyProtection="1">
      <alignment horizontal="center" vertical="center"/>
    </xf>
    <xf numFmtId="0" fontId="15" fillId="0" borderId="0" xfId="0" applyFont="1" applyProtection="1">
      <protection locked="0"/>
    </xf>
    <xf numFmtId="38" fontId="34" fillId="0" borderId="2" xfId="1" applyFont="1" applyBorder="1" applyAlignment="1" applyProtection="1">
      <alignment vertical="center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2" xfId="0" applyFont="1" applyBorder="1" applyAlignment="1">
      <alignment vertical="center"/>
    </xf>
    <xf numFmtId="1" fontId="34" fillId="0" borderId="2" xfId="0" applyNumberFormat="1" applyFont="1" applyBorder="1" applyAlignment="1">
      <alignment vertical="center"/>
    </xf>
    <xf numFmtId="0" fontId="35" fillId="0" borderId="2" xfId="0" applyFont="1" applyBorder="1" applyAlignment="1" applyProtection="1">
      <alignment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>
      <alignment horizontal="center" vertical="center"/>
    </xf>
    <xf numFmtId="9" fontId="36" fillId="0" borderId="2" xfId="1" applyNumberFormat="1" applyFont="1" applyBorder="1" applyAlignment="1" applyProtection="1">
      <alignment vertical="center"/>
      <protection locked="0"/>
    </xf>
    <xf numFmtId="9" fontId="36" fillId="0" borderId="9" xfId="2" applyFont="1" applyBorder="1" applyProtection="1">
      <alignment vertical="center"/>
      <protection locked="0"/>
    </xf>
    <xf numFmtId="38" fontId="36" fillId="0" borderId="2" xfId="1" applyFont="1" applyFill="1" applyBorder="1" applyAlignment="1" applyProtection="1">
      <alignment horizontal="center" vertical="center"/>
      <protection locked="0"/>
    </xf>
    <xf numFmtId="38" fontId="36" fillId="0" borderId="2" xfId="0" applyNumberFormat="1" applyFont="1" applyBorder="1" applyAlignment="1" applyProtection="1">
      <alignment horizontal="center" vertical="center"/>
      <protection locked="0"/>
    </xf>
    <xf numFmtId="1" fontId="36" fillId="0" borderId="2" xfId="0" applyNumberFormat="1" applyFont="1" applyBorder="1" applyAlignment="1">
      <alignment vertical="center"/>
    </xf>
    <xf numFmtId="38" fontId="3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vertical="center" shrinkToFit="1"/>
      <protection locked="0"/>
    </xf>
    <xf numFmtId="0" fontId="18" fillId="0" borderId="2" xfId="0" applyFont="1" applyBorder="1" applyAlignment="1" applyProtection="1">
      <alignment vertical="center"/>
      <protection locked="0"/>
    </xf>
    <xf numFmtId="0" fontId="37" fillId="0" borderId="2" xfId="0" applyFont="1" applyBorder="1" applyAlignment="1">
      <alignment vertical="center"/>
    </xf>
    <xf numFmtId="38" fontId="38" fillId="0" borderId="2" xfId="1" applyFont="1" applyBorder="1" applyProtection="1">
      <alignment vertical="center"/>
      <protection locked="0"/>
    </xf>
    <xf numFmtId="0" fontId="38" fillId="0" borderId="2" xfId="0" applyFont="1" applyBorder="1" applyAlignment="1" applyProtection="1">
      <alignment vertical="center"/>
      <protection locked="0"/>
    </xf>
    <xf numFmtId="38" fontId="39" fillId="0" borderId="2" xfId="1" applyFont="1" applyBorder="1" applyProtection="1">
      <alignment vertical="center"/>
      <protection locked="0"/>
    </xf>
    <xf numFmtId="38" fontId="39" fillId="0" borderId="2" xfId="1" applyFont="1" applyBorder="1" applyAlignment="1" applyProtection="1">
      <alignment vertical="center"/>
    </xf>
    <xf numFmtId="0" fontId="39" fillId="0" borderId="2" xfId="0" applyFont="1" applyBorder="1" applyAlignment="1" applyProtection="1">
      <alignment vertical="center"/>
      <protection locked="0"/>
    </xf>
    <xf numFmtId="9" fontId="35" fillId="0" borderId="2" xfId="2" applyFont="1" applyBorder="1" applyProtection="1">
      <alignment vertical="center"/>
    </xf>
    <xf numFmtId="0" fontId="40" fillId="0" borderId="0" xfId="0" applyFont="1" applyAlignment="1" applyProtection="1">
      <alignment vertical="center"/>
      <protection locked="0"/>
    </xf>
    <xf numFmtId="0" fontId="41" fillId="0" borderId="2" xfId="0" applyFont="1" applyBorder="1" applyAlignment="1" applyProtection="1">
      <alignment horizontal="center" vertical="center" shrinkToFit="1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>
      <alignment vertical="center"/>
    </xf>
    <xf numFmtId="178" fontId="13" fillId="0" borderId="20" xfId="0" applyNumberFormat="1" applyFont="1" applyBorder="1" applyAlignment="1">
      <alignment vertical="center" shrinkToFit="1"/>
    </xf>
    <xf numFmtId="38" fontId="13" fillId="0" borderId="20" xfId="1" applyFont="1" applyBorder="1">
      <alignment vertical="center"/>
    </xf>
    <xf numFmtId="38" fontId="13" fillId="0" borderId="20" xfId="0" applyNumberFormat="1" applyFont="1" applyBorder="1" applyAlignment="1">
      <alignment vertical="center"/>
    </xf>
    <xf numFmtId="38" fontId="13" fillId="0" borderId="19" xfId="0" applyNumberFormat="1" applyFont="1" applyBorder="1" applyAlignment="1">
      <alignment vertical="center"/>
    </xf>
    <xf numFmtId="0" fontId="17" fillId="0" borderId="3" xfId="0" applyFont="1" applyBorder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/>
    </xf>
    <xf numFmtId="6" fontId="20" fillId="0" borderId="7" xfId="0" applyNumberFormat="1" applyFont="1" applyBorder="1" applyAlignment="1">
      <alignment horizontal="center" vertical="center"/>
    </xf>
    <xf numFmtId="6" fontId="20" fillId="0" borderId="8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left" vertical="top"/>
    </xf>
    <xf numFmtId="0" fontId="19" fillId="0" borderId="8" xfId="0" applyFont="1" applyBorder="1" applyAlignment="1">
      <alignment horizontal="left" vertical="top"/>
    </xf>
    <xf numFmtId="0" fontId="13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/>
    </xf>
    <xf numFmtId="56" fontId="13" fillId="0" borderId="13" xfId="0" applyNumberFormat="1" applyFont="1" applyBorder="1" applyAlignment="1">
      <alignment horizontal="center" vertical="center" shrinkToFit="1"/>
    </xf>
    <xf numFmtId="56" fontId="13" fillId="0" borderId="4" xfId="0" applyNumberFormat="1" applyFont="1" applyBorder="1" applyAlignment="1">
      <alignment horizontal="center" vertical="center" shrinkToFit="1"/>
    </xf>
    <xf numFmtId="6" fontId="13" fillId="0" borderId="14" xfId="0" applyNumberFormat="1" applyFont="1" applyBorder="1" applyAlignment="1">
      <alignment horizontal="center"/>
    </xf>
    <xf numFmtId="0" fontId="17" fillId="0" borderId="15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right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 applyProtection="1">
      <alignment horizontal="center" vertical="center"/>
      <protection locked="0"/>
    </xf>
    <xf numFmtId="179" fontId="9" fillId="3" borderId="15" xfId="0" applyNumberFormat="1" applyFont="1" applyFill="1" applyBorder="1" applyAlignment="1" applyProtection="1">
      <alignment horizontal="right" vertical="center"/>
      <protection locked="0"/>
    </xf>
    <xf numFmtId="179" fontId="9" fillId="3" borderId="3" xfId="0" applyNumberFormat="1" applyFont="1" applyFill="1" applyBorder="1" applyAlignment="1" applyProtection="1">
      <alignment horizontal="right" vertical="center"/>
      <protection locked="0"/>
    </xf>
    <xf numFmtId="56" fontId="17" fillId="0" borderId="15" xfId="0" applyNumberFormat="1" applyFont="1" applyBorder="1" applyAlignment="1" applyProtection="1">
      <alignment horizontal="left" vertical="center"/>
      <protection locked="0"/>
    </xf>
    <xf numFmtId="176" fontId="9" fillId="3" borderId="1" xfId="0" applyNumberFormat="1" applyFont="1" applyFill="1" applyBorder="1" applyAlignment="1" applyProtection="1">
      <alignment horizontal="left" vertical="center"/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179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right" vertical="center"/>
      <protection locked="0"/>
    </xf>
    <xf numFmtId="0" fontId="13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1CD7-0426-4E13-941B-A7D2718D62C2}">
  <sheetPr>
    <tabColor rgb="FFFFCCFF"/>
  </sheetPr>
  <dimension ref="A1:T71"/>
  <sheetViews>
    <sheetView topLeftCell="A29" zoomScale="90" zoomScaleNormal="90" workbookViewId="0">
      <selection activeCell="H15" sqref="H15"/>
    </sheetView>
  </sheetViews>
  <sheetFormatPr defaultColWidth="8.75" defaultRowHeight="18.75"/>
  <cols>
    <col min="1" max="1" width="3.125" style="41" customWidth="1"/>
    <col min="2" max="2" width="16.875" style="41" customWidth="1"/>
    <col min="3" max="3" width="4.75" style="42" bestFit="1" customWidth="1"/>
    <col min="4" max="4" width="5.625" style="41" customWidth="1"/>
    <col min="5" max="5" width="6.25" style="41" customWidth="1"/>
    <col min="6" max="6" width="4.75" style="41" bestFit="1" customWidth="1"/>
    <col min="7" max="7" width="5.125" style="41" customWidth="1"/>
    <col min="8" max="8" width="6.75" style="41" customWidth="1"/>
    <col min="9" max="9" width="7.625" style="41" customWidth="1"/>
    <col min="10" max="10" width="7" style="41" hidden="1" customWidth="1"/>
    <col min="11" max="11" width="0.25" style="41" hidden="1" customWidth="1"/>
    <col min="12" max="12" width="7.375" style="41" customWidth="1"/>
    <col min="13" max="13" width="4.625" style="41" customWidth="1"/>
    <col min="14" max="14" width="10.125" style="42" customWidth="1"/>
    <col min="15" max="15" width="6" style="41" customWidth="1"/>
    <col min="16" max="16384" width="8.75" style="41"/>
  </cols>
  <sheetData>
    <row r="1" spans="1:20" ht="9.6" hidden="1" customHeight="1"/>
    <row r="2" spans="1:20" ht="9.6" hidden="1" customHeight="1"/>
    <row r="3" spans="1:20" ht="9.6" hidden="1" customHeight="1"/>
    <row r="4" spans="1:20" ht="9.6" hidden="1" customHeight="1"/>
    <row r="5" spans="1:20" ht="4.5" customHeight="1">
      <c r="N5" s="41"/>
      <c r="O5" s="143"/>
    </row>
    <row r="6" spans="1:20" ht="19.5" customHeight="1">
      <c r="B6" s="105" t="s">
        <v>107</v>
      </c>
      <c r="C6" s="205" t="s">
        <v>109</v>
      </c>
      <c r="D6" s="205"/>
      <c r="E6" s="205"/>
      <c r="F6" s="205"/>
      <c r="G6" s="205"/>
      <c r="I6" s="200" t="s">
        <v>111</v>
      </c>
      <c r="J6" s="200"/>
      <c r="K6" s="200"/>
      <c r="L6" s="200"/>
      <c r="M6" s="200"/>
      <c r="N6" s="200"/>
    </row>
    <row r="7" spans="1:20" s="45" customFormat="1" ht="19.5" customHeight="1">
      <c r="B7" s="106" t="s">
        <v>108</v>
      </c>
      <c r="C7" s="204" t="s">
        <v>109</v>
      </c>
      <c r="D7" s="204"/>
      <c r="E7" s="204"/>
      <c r="F7" s="204"/>
      <c r="G7" s="204"/>
      <c r="I7" s="115" t="s">
        <v>110</v>
      </c>
      <c r="Q7" s="41"/>
      <c r="R7" s="41"/>
      <c r="S7" s="41"/>
      <c r="T7" s="41"/>
    </row>
    <row r="8" spans="1:20" ht="0.75" customHeight="1" thickBot="1">
      <c r="J8" s="116"/>
      <c r="K8" s="116"/>
      <c r="L8" s="117"/>
      <c r="M8" s="117"/>
      <c r="N8" s="118"/>
    </row>
    <row r="9" spans="1:20" s="45" customFormat="1" ht="23.25" customHeight="1" thickTop="1" thickBot="1">
      <c r="B9" s="114" t="s">
        <v>0</v>
      </c>
      <c r="C9" s="104"/>
      <c r="D9" s="90"/>
      <c r="E9" s="90"/>
      <c r="F9" s="90"/>
      <c r="G9" s="103" t="s">
        <v>135</v>
      </c>
      <c r="H9" s="43"/>
      <c r="I9" s="157" t="s">
        <v>121</v>
      </c>
      <c r="J9" s="97"/>
      <c r="K9" s="97"/>
      <c r="L9" s="208">
        <v>45718</v>
      </c>
      <c r="M9" s="208"/>
      <c r="N9" s="207">
        <v>45724</v>
      </c>
      <c r="O9" s="207"/>
      <c r="Q9" s="41"/>
      <c r="R9" s="41"/>
      <c r="S9" s="41"/>
      <c r="T9" s="41"/>
    </row>
    <row r="10" spans="1:20" ht="15.75" customHeight="1" thickTop="1">
      <c r="B10" s="201" t="s">
        <v>123</v>
      </c>
      <c r="C10" s="201"/>
      <c r="D10" s="201"/>
      <c r="E10" s="201"/>
      <c r="F10" s="201"/>
      <c r="G10" s="201"/>
      <c r="I10" s="43"/>
      <c r="J10" s="43"/>
      <c r="K10" s="43"/>
      <c r="L10" s="43"/>
      <c r="M10" s="43"/>
      <c r="N10" s="46"/>
    </row>
    <row r="11" spans="1:20" ht="1.5" customHeight="1">
      <c r="B11" s="43"/>
      <c r="C11" s="93"/>
      <c r="D11" s="43"/>
      <c r="E11" s="43"/>
      <c r="F11" s="43"/>
      <c r="I11" s="43"/>
      <c r="J11" s="43"/>
      <c r="K11" s="43"/>
      <c r="L11" s="43"/>
      <c r="M11" s="43"/>
      <c r="N11" s="46"/>
    </row>
    <row r="12" spans="1:20" ht="27" customHeight="1">
      <c r="A12" s="11"/>
      <c r="B12" s="110" t="s">
        <v>1</v>
      </c>
      <c r="C12" s="110" t="s">
        <v>81</v>
      </c>
      <c r="D12" s="110" t="s">
        <v>82</v>
      </c>
      <c r="E12" s="110" t="s">
        <v>82</v>
      </c>
      <c r="F12" s="110" t="s">
        <v>83</v>
      </c>
      <c r="G12" s="112" t="s">
        <v>2</v>
      </c>
      <c r="H12" s="95" t="s">
        <v>3</v>
      </c>
      <c r="I12" s="95" t="s">
        <v>134</v>
      </c>
      <c r="J12" s="65"/>
      <c r="K12" s="65"/>
      <c r="L12" s="98" t="s">
        <v>5</v>
      </c>
      <c r="M12" s="112" t="s">
        <v>102</v>
      </c>
      <c r="N12" s="111" t="s">
        <v>105</v>
      </c>
      <c r="O12" s="111" t="s">
        <v>106</v>
      </c>
    </row>
    <row r="13" spans="1:20" ht="15.75" customHeight="1">
      <c r="A13" s="47">
        <v>1</v>
      </c>
      <c r="B13" s="158" t="s">
        <v>6</v>
      </c>
      <c r="C13" s="100"/>
      <c r="D13" s="100" t="s">
        <v>84</v>
      </c>
      <c r="E13" s="100" t="s">
        <v>85</v>
      </c>
      <c r="F13" s="100" t="s">
        <v>86</v>
      </c>
      <c r="G13" s="168">
        <v>3</v>
      </c>
      <c r="H13" s="163">
        <v>98</v>
      </c>
      <c r="I13" s="164">
        <f>ROUNDUP(H13*K13,0)</f>
        <v>71</v>
      </c>
      <c r="J13" s="151">
        <v>1</v>
      </c>
      <c r="K13" s="151">
        <f>J13-L13</f>
        <v>0.72</v>
      </c>
      <c r="L13" s="152">
        <v>0.28000000000000003</v>
      </c>
      <c r="M13" s="161">
        <v>4</v>
      </c>
      <c r="N13" s="153"/>
      <c r="O13" s="153"/>
      <c r="P13" s="59"/>
    </row>
    <row r="14" spans="1:20" ht="15.75" customHeight="1">
      <c r="A14" s="47">
        <v>2</v>
      </c>
      <c r="B14" s="158" t="s">
        <v>6</v>
      </c>
      <c r="C14" s="100"/>
      <c r="D14" s="100"/>
      <c r="E14" s="100" t="s">
        <v>87</v>
      </c>
      <c r="F14" s="100"/>
      <c r="G14" s="168">
        <v>3</v>
      </c>
      <c r="H14" s="163">
        <v>216</v>
      </c>
      <c r="I14" s="164">
        <f t="shared" ref="I14:I63" si="0">ROUNDUP(H14*K14,0)</f>
        <v>156</v>
      </c>
      <c r="J14" s="151">
        <v>1</v>
      </c>
      <c r="K14" s="151">
        <f t="shared" ref="K14:K63" si="1">J14-L14</f>
        <v>0.72</v>
      </c>
      <c r="L14" s="152">
        <v>0.28000000000000003</v>
      </c>
      <c r="M14" s="161">
        <v>5</v>
      </c>
      <c r="N14" s="153"/>
      <c r="O14" s="153"/>
      <c r="P14" s="59"/>
    </row>
    <row r="15" spans="1:20" ht="15.75" customHeight="1">
      <c r="A15" s="47">
        <v>4</v>
      </c>
      <c r="B15" s="158" t="s">
        <v>157</v>
      </c>
      <c r="C15" s="100"/>
      <c r="D15" s="100" t="s">
        <v>88</v>
      </c>
      <c r="E15" s="100" t="s">
        <v>156</v>
      </c>
      <c r="F15" s="100"/>
      <c r="G15" s="168"/>
      <c r="H15" s="163">
        <v>158</v>
      </c>
      <c r="I15" s="164">
        <f t="shared" si="0"/>
        <v>114</v>
      </c>
      <c r="J15" s="151">
        <v>1</v>
      </c>
      <c r="K15" s="151">
        <f t="shared" si="1"/>
        <v>0.72</v>
      </c>
      <c r="L15" s="152">
        <v>0.28000000000000003</v>
      </c>
      <c r="M15" s="161">
        <v>5</v>
      </c>
      <c r="N15" s="153"/>
      <c r="O15" s="153"/>
      <c r="P15" s="59"/>
    </row>
    <row r="16" spans="1:20" ht="15.75" customHeight="1">
      <c r="A16" s="47">
        <v>5</v>
      </c>
      <c r="B16" s="158" t="s">
        <v>145</v>
      </c>
      <c r="C16" s="100"/>
      <c r="D16" s="100" t="s">
        <v>89</v>
      </c>
      <c r="E16" s="100"/>
      <c r="F16" s="100"/>
      <c r="G16" s="168">
        <v>5</v>
      </c>
      <c r="H16" s="163">
        <v>128</v>
      </c>
      <c r="I16" s="164">
        <f t="shared" si="0"/>
        <v>93</v>
      </c>
      <c r="J16" s="151">
        <v>1</v>
      </c>
      <c r="K16" s="151">
        <f t="shared" si="1"/>
        <v>0.72</v>
      </c>
      <c r="L16" s="152">
        <v>0.28000000000000003</v>
      </c>
      <c r="M16" s="162">
        <v>5</v>
      </c>
      <c r="N16" s="153"/>
      <c r="O16" s="153"/>
      <c r="P16" s="59"/>
    </row>
    <row r="17" spans="1:16" ht="15.75" customHeight="1">
      <c r="A17" s="47">
        <v>6</v>
      </c>
      <c r="B17" s="158"/>
      <c r="C17" s="100"/>
      <c r="D17" s="100"/>
      <c r="E17" s="100"/>
      <c r="F17" s="100" t="s">
        <v>90</v>
      </c>
      <c r="G17" s="168">
        <v>7</v>
      </c>
      <c r="H17" s="163">
        <v>0</v>
      </c>
      <c r="I17" s="164">
        <v>0</v>
      </c>
      <c r="J17" s="151">
        <v>1</v>
      </c>
      <c r="K17" s="151">
        <f t="shared" si="1"/>
        <v>0.72</v>
      </c>
      <c r="L17" s="152">
        <v>0.28000000000000003</v>
      </c>
      <c r="M17" s="162">
        <v>5</v>
      </c>
      <c r="N17" s="153"/>
      <c r="O17" s="153"/>
      <c r="P17" s="59"/>
    </row>
    <row r="18" spans="1:16" ht="15.75" customHeight="1">
      <c r="A18" s="47">
        <v>7</v>
      </c>
      <c r="B18" s="158" t="s">
        <v>140</v>
      </c>
      <c r="C18" s="100"/>
      <c r="D18" s="100" t="s">
        <v>88</v>
      </c>
      <c r="E18" s="100" t="s">
        <v>142</v>
      </c>
      <c r="F18" s="100" t="s">
        <v>132</v>
      </c>
      <c r="G18" s="168">
        <v>10</v>
      </c>
      <c r="H18" s="163">
        <v>128</v>
      </c>
      <c r="I18" s="164">
        <f t="shared" si="0"/>
        <v>93</v>
      </c>
      <c r="J18" s="151">
        <v>1</v>
      </c>
      <c r="K18" s="151">
        <f t="shared" si="1"/>
        <v>0.72</v>
      </c>
      <c r="L18" s="152">
        <v>0.28000000000000003</v>
      </c>
      <c r="M18" s="162">
        <v>3</v>
      </c>
      <c r="N18" s="153"/>
      <c r="O18" s="153"/>
      <c r="P18" s="59"/>
    </row>
    <row r="19" spans="1:16" ht="15.75" customHeight="1">
      <c r="A19" s="47">
        <v>8</v>
      </c>
      <c r="B19" s="158" t="s">
        <v>10</v>
      </c>
      <c r="C19" s="100"/>
      <c r="D19" s="100"/>
      <c r="E19" s="100" t="s">
        <v>87</v>
      </c>
      <c r="F19" s="100"/>
      <c r="G19" s="168">
        <v>5</v>
      </c>
      <c r="H19" s="163">
        <v>138</v>
      </c>
      <c r="I19" s="164">
        <f t="shared" si="0"/>
        <v>100</v>
      </c>
      <c r="J19" s="151">
        <v>1</v>
      </c>
      <c r="K19" s="151">
        <f t="shared" si="1"/>
        <v>0.72</v>
      </c>
      <c r="L19" s="152">
        <v>0.28000000000000003</v>
      </c>
      <c r="M19" s="162">
        <v>3</v>
      </c>
      <c r="N19" s="153"/>
      <c r="O19" s="153"/>
      <c r="P19" s="59"/>
    </row>
    <row r="20" spans="1:16" ht="15.75" customHeight="1">
      <c r="A20" s="47">
        <v>9</v>
      </c>
      <c r="B20" s="158" t="s">
        <v>147</v>
      </c>
      <c r="C20" s="100"/>
      <c r="D20" s="100"/>
      <c r="E20" s="100" t="s">
        <v>137</v>
      </c>
      <c r="F20" s="100"/>
      <c r="G20" s="168"/>
      <c r="H20" s="163">
        <v>238</v>
      </c>
      <c r="I20" s="164">
        <v>215</v>
      </c>
      <c r="J20" s="151">
        <v>2</v>
      </c>
      <c r="K20" s="151">
        <f t="shared" ref="K20" si="2">J20-L20</f>
        <v>1.72</v>
      </c>
      <c r="L20" s="152">
        <v>0.28000000000000003</v>
      </c>
      <c r="M20" s="162">
        <v>3</v>
      </c>
      <c r="N20" s="153"/>
      <c r="O20" s="153"/>
      <c r="P20" s="59"/>
    </row>
    <row r="21" spans="1:16" ht="15.75" customHeight="1">
      <c r="A21" s="47">
        <v>10</v>
      </c>
      <c r="B21" s="158" t="s">
        <v>150</v>
      </c>
      <c r="C21" s="100"/>
      <c r="D21" s="100" t="s">
        <v>91</v>
      </c>
      <c r="E21" s="100"/>
      <c r="F21" s="100"/>
      <c r="G21" s="168">
        <v>7</v>
      </c>
      <c r="H21" s="163">
        <v>258</v>
      </c>
      <c r="I21" s="164">
        <f>ROUNDUP(H21*K21,0)</f>
        <v>186</v>
      </c>
      <c r="J21" s="151">
        <v>1</v>
      </c>
      <c r="K21" s="151">
        <f t="shared" si="1"/>
        <v>0.72</v>
      </c>
      <c r="L21" s="152">
        <v>0.28000000000000003</v>
      </c>
      <c r="M21" s="162">
        <v>3</v>
      </c>
      <c r="N21" s="153"/>
      <c r="O21" s="153"/>
      <c r="P21" s="59"/>
    </row>
    <row r="22" spans="1:16" ht="15.75" customHeight="1">
      <c r="A22" s="47">
        <v>11</v>
      </c>
      <c r="B22" s="158" t="s">
        <v>148</v>
      </c>
      <c r="C22" s="100"/>
      <c r="D22" s="100" t="s">
        <v>91</v>
      </c>
      <c r="E22" s="100"/>
      <c r="F22" s="100"/>
      <c r="G22" s="168">
        <v>5</v>
      </c>
      <c r="H22" s="163">
        <v>378</v>
      </c>
      <c r="I22" s="164">
        <v>287</v>
      </c>
      <c r="J22" s="151"/>
      <c r="K22" s="151"/>
      <c r="L22" s="152">
        <v>0.28000000000000003</v>
      </c>
      <c r="M22" s="162">
        <v>3</v>
      </c>
      <c r="N22" s="153"/>
      <c r="O22" s="153"/>
      <c r="P22" s="59"/>
    </row>
    <row r="23" spans="1:16" ht="15.75" customHeight="1">
      <c r="A23" s="47">
        <v>12</v>
      </c>
      <c r="B23" s="158" t="s">
        <v>146</v>
      </c>
      <c r="C23" s="100"/>
      <c r="D23" s="100"/>
      <c r="E23" s="100" t="s">
        <v>143</v>
      </c>
      <c r="F23" s="100" t="s">
        <v>90</v>
      </c>
      <c r="G23" s="168">
        <v>7</v>
      </c>
      <c r="H23" s="163">
        <v>108</v>
      </c>
      <c r="I23" s="164">
        <f t="shared" si="0"/>
        <v>78</v>
      </c>
      <c r="J23" s="151">
        <v>1</v>
      </c>
      <c r="K23" s="151">
        <f t="shared" si="1"/>
        <v>0.72</v>
      </c>
      <c r="L23" s="152">
        <v>0.28000000000000003</v>
      </c>
      <c r="M23" s="162">
        <v>3</v>
      </c>
      <c r="N23" s="153"/>
      <c r="O23" s="153"/>
      <c r="P23" s="59"/>
    </row>
    <row r="24" spans="1:16" ht="15.75" customHeight="1">
      <c r="A24" s="47">
        <v>13</v>
      </c>
      <c r="B24" s="158" t="s">
        <v>15</v>
      </c>
      <c r="C24" s="100"/>
      <c r="D24" s="100"/>
      <c r="E24" s="100" t="s">
        <v>87</v>
      </c>
      <c r="F24" s="100"/>
      <c r="G24" s="168">
        <v>5</v>
      </c>
      <c r="H24" s="163">
        <v>198</v>
      </c>
      <c r="I24" s="164">
        <f t="shared" si="0"/>
        <v>143</v>
      </c>
      <c r="J24" s="151">
        <v>1</v>
      </c>
      <c r="K24" s="151">
        <f t="shared" si="1"/>
        <v>0.72</v>
      </c>
      <c r="L24" s="152">
        <v>0.28000000000000003</v>
      </c>
      <c r="M24" s="162">
        <v>3</v>
      </c>
      <c r="N24" s="153"/>
      <c r="O24" s="153"/>
      <c r="P24" s="59"/>
    </row>
    <row r="25" spans="1:16" ht="15.75" customHeight="1">
      <c r="A25" s="47">
        <v>14</v>
      </c>
      <c r="B25" s="158" t="s">
        <v>16</v>
      </c>
      <c r="C25" s="100"/>
      <c r="D25" s="100"/>
      <c r="E25" s="101" t="s">
        <v>133</v>
      </c>
      <c r="F25" s="100" t="s">
        <v>90</v>
      </c>
      <c r="G25" s="168">
        <v>5</v>
      </c>
      <c r="H25" s="163">
        <v>138</v>
      </c>
      <c r="I25" s="164">
        <f t="shared" si="0"/>
        <v>100</v>
      </c>
      <c r="J25" s="151">
        <v>1</v>
      </c>
      <c r="K25" s="151">
        <f t="shared" si="1"/>
        <v>0.72</v>
      </c>
      <c r="L25" s="152">
        <v>0.28000000000000003</v>
      </c>
      <c r="M25" s="162">
        <v>2</v>
      </c>
      <c r="N25" s="153"/>
      <c r="O25" s="153"/>
      <c r="P25" s="59"/>
    </row>
    <row r="26" spans="1:16" ht="15.75" customHeight="1">
      <c r="A26" s="47">
        <v>15</v>
      </c>
      <c r="B26" s="158" t="s">
        <v>16</v>
      </c>
      <c r="C26" s="100"/>
      <c r="D26" s="100"/>
      <c r="E26" s="101" t="s">
        <v>92</v>
      </c>
      <c r="F26" s="100" t="s">
        <v>90</v>
      </c>
      <c r="G26" s="168">
        <v>4</v>
      </c>
      <c r="H26" s="163">
        <v>358</v>
      </c>
      <c r="I26" s="164">
        <f t="shared" si="0"/>
        <v>258</v>
      </c>
      <c r="J26" s="151">
        <v>1</v>
      </c>
      <c r="K26" s="151">
        <f t="shared" si="1"/>
        <v>0.72</v>
      </c>
      <c r="L26" s="152">
        <v>0.28000000000000003</v>
      </c>
      <c r="M26" s="162">
        <v>3</v>
      </c>
      <c r="N26" s="153"/>
      <c r="O26" s="153"/>
      <c r="P26" s="59"/>
    </row>
    <row r="27" spans="1:16" ht="15.75" customHeight="1">
      <c r="A27" s="47">
        <v>16</v>
      </c>
      <c r="B27" s="158" t="s">
        <v>152</v>
      </c>
      <c r="C27" s="100"/>
      <c r="D27" s="100"/>
      <c r="E27" s="100"/>
      <c r="F27" s="100" t="s">
        <v>90</v>
      </c>
      <c r="G27" s="168">
        <v>3</v>
      </c>
      <c r="H27" s="163">
        <v>108</v>
      </c>
      <c r="I27" s="164">
        <f t="shared" si="0"/>
        <v>78</v>
      </c>
      <c r="J27" s="151">
        <v>1</v>
      </c>
      <c r="K27" s="151">
        <f t="shared" si="1"/>
        <v>0.72</v>
      </c>
      <c r="L27" s="152">
        <v>0.28000000000000003</v>
      </c>
      <c r="M27" s="162">
        <v>2</v>
      </c>
      <c r="N27" s="154"/>
      <c r="O27" s="153"/>
      <c r="P27" s="59"/>
    </row>
    <row r="28" spans="1:16" ht="15.75" customHeight="1">
      <c r="A28" s="47">
        <v>17</v>
      </c>
      <c r="B28" s="159" t="s">
        <v>19</v>
      </c>
      <c r="C28" s="92"/>
      <c r="D28" s="92"/>
      <c r="E28" s="92" t="s">
        <v>93</v>
      </c>
      <c r="F28" s="92" t="s">
        <v>90</v>
      </c>
      <c r="G28" s="169">
        <v>5</v>
      </c>
      <c r="H28" s="165">
        <v>168</v>
      </c>
      <c r="I28" s="164">
        <f t="shared" si="0"/>
        <v>121</v>
      </c>
      <c r="J28" s="151">
        <v>1</v>
      </c>
      <c r="K28" s="151">
        <f t="shared" si="1"/>
        <v>0.72</v>
      </c>
      <c r="L28" s="152">
        <v>0.28000000000000003</v>
      </c>
      <c r="M28" s="162">
        <v>3</v>
      </c>
      <c r="N28" s="154"/>
      <c r="O28" s="153"/>
    </row>
    <row r="29" spans="1:16" ht="15.75" customHeight="1">
      <c r="A29" s="47">
        <v>18</v>
      </c>
      <c r="B29" s="159" t="s">
        <v>149</v>
      </c>
      <c r="C29" s="92"/>
      <c r="D29" s="92"/>
      <c r="E29" s="92" t="s">
        <v>143</v>
      </c>
      <c r="F29" s="92" t="s">
        <v>90</v>
      </c>
      <c r="G29" s="169">
        <v>5</v>
      </c>
      <c r="H29" s="165">
        <v>148</v>
      </c>
      <c r="I29" s="164">
        <f t="shared" si="0"/>
        <v>107</v>
      </c>
      <c r="J29" s="151">
        <v>1</v>
      </c>
      <c r="K29" s="151">
        <f t="shared" si="1"/>
        <v>0.72</v>
      </c>
      <c r="L29" s="152">
        <v>0.28000000000000003</v>
      </c>
      <c r="M29" s="162">
        <v>3</v>
      </c>
      <c r="N29" s="154"/>
      <c r="O29" s="153"/>
    </row>
    <row r="30" spans="1:16" ht="15.75" customHeight="1">
      <c r="A30" s="47">
        <v>19</v>
      </c>
      <c r="B30" s="159" t="s">
        <v>20</v>
      </c>
      <c r="C30" s="92" t="s">
        <v>94</v>
      </c>
      <c r="D30" s="92"/>
      <c r="E30" s="92" t="s">
        <v>93</v>
      </c>
      <c r="F30" s="92" t="s">
        <v>90</v>
      </c>
      <c r="G30" s="169">
        <v>5</v>
      </c>
      <c r="H30" s="165">
        <v>238</v>
      </c>
      <c r="I30" s="164">
        <f t="shared" si="0"/>
        <v>172</v>
      </c>
      <c r="J30" s="151">
        <v>1</v>
      </c>
      <c r="K30" s="151">
        <f t="shared" si="1"/>
        <v>0.72</v>
      </c>
      <c r="L30" s="152">
        <v>0.28000000000000003</v>
      </c>
      <c r="M30" s="162">
        <v>2</v>
      </c>
      <c r="N30" s="154"/>
      <c r="O30" s="153"/>
    </row>
    <row r="31" spans="1:16" ht="15.75" customHeight="1">
      <c r="A31" s="47">
        <v>20</v>
      </c>
      <c r="B31" s="159" t="s">
        <v>23</v>
      </c>
      <c r="C31" s="92"/>
      <c r="D31" s="102" t="s">
        <v>151</v>
      </c>
      <c r="E31" s="92" t="s">
        <v>87</v>
      </c>
      <c r="F31" s="92"/>
      <c r="G31" s="169">
        <v>5</v>
      </c>
      <c r="H31" s="165">
        <v>178</v>
      </c>
      <c r="I31" s="164">
        <f t="shared" si="0"/>
        <v>129</v>
      </c>
      <c r="J31" s="151">
        <v>1</v>
      </c>
      <c r="K31" s="151">
        <f t="shared" si="1"/>
        <v>0.72</v>
      </c>
      <c r="L31" s="152">
        <v>0.28000000000000003</v>
      </c>
      <c r="M31" s="162">
        <v>3</v>
      </c>
      <c r="N31" s="154"/>
      <c r="O31" s="153"/>
    </row>
    <row r="32" spans="1:16" ht="15.75" customHeight="1">
      <c r="A32" s="47">
        <v>21</v>
      </c>
      <c r="B32" s="159" t="s">
        <v>24</v>
      </c>
      <c r="C32" s="92"/>
      <c r="D32" s="92"/>
      <c r="E32" s="92" t="s">
        <v>87</v>
      </c>
      <c r="F32" s="92" t="s">
        <v>90</v>
      </c>
      <c r="G32" s="169">
        <v>7</v>
      </c>
      <c r="H32" s="165">
        <v>248</v>
      </c>
      <c r="I32" s="164">
        <f t="shared" si="0"/>
        <v>179</v>
      </c>
      <c r="J32" s="151">
        <v>1</v>
      </c>
      <c r="K32" s="151">
        <f t="shared" si="1"/>
        <v>0.72</v>
      </c>
      <c r="L32" s="152">
        <v>0.28000000000000003</v>
      </c>
      <c r="M32" s="162">
        <v>3</v>
      </c>
      <c r="N32" s="154"/>
      <c r="O32" s="153"/>
    </row>
    <row r="33" spans="1:15" ht="15.75" customHeight="1">
      <c r="A33" s="47">
        <v>22</v>
      </c>
      <c r="B33" s="159" t="s">
        <v>25</v>
      </c>
      <c r="C33" s="92"/>
      <c r="D33" s="92"/>
      <c r="E33" s="92" t="s">
        <v>95</v>
      </c>
      <c r="F33" s="92" t="s">
        <v>96</v>
      </c>
      <c r="G33" s="169">
        <v>5</v>
      </c>
      <c r="H33" s="165">
        <v>168</v>
      </c>
      <c r="I33" s="164">
        <f t="shared" si="0"/>
        <v>121</v>
      </c>
      <c r="J33" s="151">
        <v>1</v>
      </c>
      <c r="K33" s="151">
        <f t="shared" si="1"/>
        <v>0.72</v>
      </c>
      <c r="L33" s="152">
        <v>0.28000000000000003</v>
      </c>
      <c r="M33" s="162">
        <v>3</v>
      </c>
      <c r="N33" s="154"/>
      <c r="O33" s="153"/>
    </row>
    <row r="34" spans="1:15" ht="15.75" customHeight="1">
      <c r="A34" s="47">
        <v>23</v>
      </c>
      <c r="B34" s="159" t="s">
        <v>26</v>
      </c>
      <c r="C34" s="92"/>
      <c r="D34" s="92"/>
      <c r="E34" s="92" t="s">
        <v>87</v>
      </c>
      <c r="F34" s="92" t="s">
        <v>86</v>
      </c>
      <c r="G34" s="169">
        <v>10</v>
      </c>
      <c r="H34" s="165">
        <v>258</v>
      </c>
      <c r="I34" s="164">
        <f t="shared" si="0"/>
        <v>186</v>
      </c>
      <c r="J34" s="151">
        <v>1</v>
      </c>
      <c r="K34" s="151">
        <f t="shared" si="1"/>
        <v>0.72</v>
      </c>
      <c r="L34" s="152">
        <v>0.28000000000000003</v>
      </c>
      <c r="M34" s="162">
        <v>3</v>
      </c>
      <c r="N34" s="154"/>
      <c r="O34" s="153"/>
    </row>
    <row r="35" spans="1:15" ht="15.75" customHeight="1">
      <c r="A35" s="47">
        <v>24</v>
      </c>
      <c r="B35" s="159" t="s">
        <v>27</v>
      </c>
      <c r="C35" s="92"/>
      <c r="D35" s="92"/>
      <c r="E35" s="92"/>
      <c r="F35" s="92"/>
      <c r="G35" s="169">
        <v>10</v>
      </c>
      <c r="H35" s="165">
        <v>198</v>
      </c>
      <c r="I35" s="164">
        <f t="shared" si="0"/>
        <v>143</v>
      </c>
      <c r="J35" s="151">
        <v>1</v>
      </c>
      <c r="K35" s="151">
        <f t="shared" si="1"/>
        <v>0.72</v>
      </c>
      <c r="L35" s="152">
        <v>0.28000000000000003</v>
      </c>
      <c r="M35" s="162">
        <v>2</v>
      </c>
      <c r="N35" s="154"/>
      <c r="O35" s="153"/>
    </row>
    <row r="36" spans="1:15" ht="15.75" customHeight="1">
      <c r="A36" s="47">
        <v>25</v>
      </c>
      <c r="B36" s="159"/>
      <c r="C36" s="92"/>
      <c r="D36" s="92"/>
      <c r="E36" s="92"/>
      <c r="F36" s="92" t="s">
        <v>90</v>
      </c>
      <c r="G36" s="169">
        <v>5</v>
      </c>
      <c r="H36" s="165"/>
      <c r="I36" s="164">
        <f t="shared" si="0"/>
        <v>0</v>
      </c>
      <c r="J36" s="151">
        <v>1</v>
      </c>
      <c r="K36" s="151">
        <f t="shared" si="1"/>
        <v>0.72</v>
      </c>
      <c r="L36" s="152">
        <v>0.28000000000000003</v>
      </c>
      <c r="M36" s="162">
        <v>3</v>
      </c>
      <c r="N36" s="154"/>
      <c r="O36" s="153"/>
    </row>
    <row r="37" spans="1:15" ht="15.75" customHeight="1">
      <c r="A37" s="47">
        <v>26</v>
      </c>
      <c r="B37" s="159" t="s">
        <v>28</v>
      </c>
      <c r="C37" s="92"/>
      <c r="D37" s="92"/>
      <c r="E37" s="92"/>
      <c r="F37" s="92"/>
      <c r="G37" s="169">
        <v>5</v>
      </c>
      <c r="H37" s="165">
        <v>178</v>
      </c>
      <c r="I37" s="164">
        <f t="shared" si="0"/>
        <v>129</v>
      </c>
      <c r="J37" s="151">
        <v>1</v>
      </c>
      <c r="K37" s="151">
        <f t="shared" si="1"/>
        <v>0.72</v>
      </c>
      <c r="L37" s="152">
        <v>0.28000000000000003</v>
      </c>
      <c r="M37" s="162">
        <v>3</v>
      </c>
      <c r="N37" s="154"/>
      <c r="O37" s="153"/>
    </row>
    <row r="38" spans="1:15" ht="15.75" customHeight="1">
      <c r="A38" s="47">
        <v>27</v>
      </c>
      <c r="B38" s="159" t="s">
        <v>29</v>
      </c>
      <c r="C38" s="92"/>
      <c r="D38" s="92"/>
      <c r="E38" s="92"/>
      <c r="F38" s="92"/>
      <c r="G38" s="169">
        <v>5</v>
      </c>
      <c r="H38" s="165">
        <v>148</v>
      </c>
      <c r="I38" s="164">
        <f t="shared" si="0"/>
        <v>107</v>
      </c>
      <c r="J38" s="151">
        <v>1</v>
      </c>
      <c r="K38" s="151">
        <f t="shared" si="1"/>
        <v>0.72</v>
      </c>
      <c r="L38" s="152">
        <v>0.28000000000000003</v>
      </c>
      <c r="M38" s="162">
        <v>3</v>
      </c>
      <c r="N38" s="154"/>
      <c r="O38" s="153"/>
    </row>
    <row r="39" spans="1:15" ht="15.75" customHeight="1">
      <c r="A39" s="47">
        <v>28</v>
      </c>
      <c r="B39" s="159" t="s">
        <v>30</v>
      </c>
      <c r="C39" s="92"/>
      <c r="D39" s="92"/>
      <c r="E39" s="92"/>
      <c r="F39" s="92"/>
      <c r="G39" s="169">
        <v>4</v>
      </c>
      <c r="H39" s="165">
        <v>158</v>
      </c>
      <c r="I39" s="164">
        <f t="shared" si="0"/>
        <v>114</v>
      </c>
      <c r="J39" s="151">
        <v>1</v>
      </c>
      <c r="K39" s="151">
        <f t="shared" si="1"/>
        <v>0.72</v>
      </c>
      <c r="L39" s="152">
        <v>0.28000000000000003</v>
      </c>
      <c r="M39" s="162">
        <v>3</v>
      </c>
      <c r="N39" s="154"/>
      <c r="O39" s="153"/>
    </row>
    <row r="40" spans="1:15" ht="15.75" customHeight="1">
      <c r="A40" s="47">
        <v>29</v>
      </c>
      <c r="B40" s="159" t="s">
        <v>31</v>
      </c>
      <c r="C40" s="92"/>
      <c r="D40" s="92"/>
      <c r="E40" s="92"/>
      <c r="F40" s="92"/>
      <c r="G40" s="169">
        <v>5</v>
      </c>
      <c r="H40" s="165">
        <v>158</v>
      </c>
      <c r="I40" s="164">
        <f t="shared" si="0"/>
        <v>114</v>
      </c>
      <c r="J40" s="151">
        <v>1</v>
      </c>
      <c r="K40" s="151">
        <f t="shared" si="1"/>
        <v>0.72</v>
      </c>
      <c r="L40" s="152">
        <v>0.28000000000000003</v>
      </c>
      <c r="M40" s="162">
        <v>2</v>
      </c>
      <c r="N40" s="154"/>
      <c r="O40" s="153"/>
    </row>
    <row r="41" spans="1:15" ht="15.75" customHeight="1">
      <c r="A41" s="47">
        <v>30</v>
      </c>
      <c r="B41" s="159" t="s">
        <v>32</v>
      </c>
      <c r="C41" s="92"/>
      <c r="D41" s="92"/>
      <c r="E41" s="92"/>
      <c r="F41" s="92"/>
      <c r="G41" s="169">
        <v>5</v>
      </c>
      <c r="H41" s="165">
        <v>158</v>
      </c>
      <c r="I41" s="164">
        <f t="shared" si="0"/>
        <v>114</v>
      </c>
      <c r="J41" s="151">
        <v>1</v>
      </c>
      <c r="K41" s="151">
        <f t="shared" si="1"/>
        <v>0.72</v>
      </c>
      <c r="L41" s="152">
        <v>0.28000000000000003</v>
      </c>
      <c r="M41" s="162">
        <v>2</v>
      </c>
      <c r="N41" s="154"/>
      <c r="O41" s="153"/>
    </row>
    <row r="42" spans="1:15" ht="15.75" customHeight="1">
      <c r="A42" s="47">
        <v>31</v>
      </c>
      <c r="B42" s="159" t="s">
        <v>33</v>
      </c>
      <c r="C42" s="92"/>
      <c r="D42" s="92"/>
      <c r="E42" s="92" t="s">
        <v>97</v>
      </c>
      <c r="F42" s="92" t="s">
        <v>90</v>
      </c>
      <c r="G42" s="169">
        <v>5</v>
      </c>
      <c r="H42" s="165">
        <v>108</v>
      </c>
      <c r="I42" s="164">
        <f t="shared" si="0"/>
        <v>78</v>
      </c>
      <c r="J42" s="151">
        <v>1</v>
      </c>
      <c r="K42" s="151">
        <f t="shared" si="1"/>
        <v>0.72</v>
      </c>
      <c r="L42" s="152">
        <v>0.28000000000000003</v>
      </c>
      <c r="M42" s="162">
        <v>3</v>
      </c>
      <c r="N42" s="154"/>
      <c r="O42" s="153"/>
    </row>
    <row r="43" spans="1:15" ht="15.75" customHeight="1">
      <c r="A43" s="47">
        <v>32</v>
      </c>
      <c r="B43" s="159" t="s">
        <v>34</v>
      </c>
      <c r="C43" s="92"/>
      <c r="D43" s="92"/>
      <c r="E43" s="92" t="s">
        <v>144</v>
      </c>
      <c r="F43" s="92" t="s">
        <v>86</v>
      </c>
      <c r="G43" s="169">
        <v>15</v>
      </c>
      <c r="H43" s="165">
        <v>168</v>
      </c>
      <c r="I43" s="164">
        <f t="shared" si="0"/>
        <v>121</v>
      </c>
      <c r="J43" s="151">
        <v>1</v>
      </c>
      <c r="K43" s="151">
        <f t="shared" si="1"/>
        <v>0.72</v>
      </c>
      <c r="L43" s="152">
        <v>0.28000000000000003</v>
      </c>
      <c r="M43" s="162">
        <v>3</v>
      </c>
      <c r="N43" s="154"/>
      <c r="O43" s="153"/>
    </row>
    <row r="44" spans="1:15" ht="15.75" customHeight="1">
      <c r="A44" s="47">
        <v>33</v>
      </c>
      <c r="B44" s="159" t="s">
        <v>35</v>
      </c>
      <c r="C44" s="92" t="s">
        <v>98</v>
      </c>
      <c r="D44" s="92"/>
      <c r="E44" s="92"/>
      <c r="F44" s="92" t="s">
        <v>99</v>
      </c>
      <c r="G44" s="169">
        <v>15</v>
      </c>
      <c r="H44" s="165">
        <v>138</v>
      </c>
      <c r="I44" s="164">
        <f t="shared" si="0"/>
        <v>100</v>
      </c>
      <c r="J44" s="151">
        <v>1</v>
      </c>
      <c r="K44" s="151">
        <f t="shared" si="1"/>
        <v>0.72</v>
      </c>
      <c r="L44" s="152">
        <v>0.28000000000000003</v>
      </c>
      <c r="M44" s="162">
        <v>3</v>
      </c>
      <c r="N44" s="154"/>
      <c r="O44" s="153"/>
    </row>
    <row r="45" spans="1:15" ht="15.75" customHeight="1">
      <c r="A45" s="47">
        <v>34</v>
      </c>
      <c r="B45" s="159" t="s">
        <v>153</v>
      </c>
      <c r="C45" s="92"/>
      <c r="D45" s="92" t="s">
        <v>154</v>
      </c>
      <c r="E45" s="92" t="s">
        <v>87</v>
      </c>
      <c r="F45" s="92" t="s">
        <v>90</v>
      </c>
      <c r="G45" s="169">
        <v>5</v>
      </c>
      <c r="H45" s="165">
        <v>238</v>
      </c>
      <c r="I45" s="164">
        <f t="shared" si="0"/>
        <v>172</v>
      </c>
      <c r="J45" s="151">
        <v>1</v>
      </c>
      <c r="K45" s="151">
        <f t="shared" si="1"/>
        <v>0.72</v>
      </c>
      <c r="L45" s="152">
        <v>0.28000000000000003</v>
      </c>
      <c r="M45" s="162">
        <v>3</v>
      </c>
      <c r="N45" s="154"/>
      <c r="O45" s="153"/>
    </row>
    <row r="46" spans="1:15" ht="15.75" customHeight="1">
      <c r="A46" s="47">
        <v>35</v>
      </c>
      <c r="B46" s="159" t="s">
        <v>38</v>
      </c>
      <c r="C46" s="92"/>
      <c r="D46" s="102" t="s">
        <v>100</v>
      </c>
      <c r="E46" s="102" t="s">
        <v>101</v>
      </c>
      <c r="F46" s="92"/>
      <c r="G46" s="169">
        <v>4</v>
      </c>
      <c r="H46" s="165">
        <v>128</v>
      </c>
      <c r="I46" s="164">
        <f t="shared" si="0"/>
        <v>93</v>
      </c>
      <c r="J46" s="151">
        <v>1</v>
      </c>
      <c r="K46" s="151">
        <f t="shared" si="1"/>
        <v>0.72</v>
      </c>
      <c r="L46" s="152">
        <v>0.28000000000000003</v>
      </c>
      <c r="M46" s="162">
        <v>3</v>
      </c>
      <c r="N46" s="154"/>
      <c r="O46" s="153"/>
    </row>
    <row r="47" spans="1:15" ht="15.75" customHeight="1">
      <c r="A47" s="47">
        <v>36</v>
      </c>
      <c r="B47" s="159" t="s">
        <v>160</v>
      </c>
      <c r="C47" s="92"/>
      <c r="D47" s="92" t="s">
        <v>158</v>
      </c>
      <c r="E47" s="102" t="s">
        <v>91</v>
      </c>
      <c r="F47" s="92" t="s">
        <v>90</v>
      </c>
      <c r="G47" s="169">
        <v>5</v>
      </c>
      <c r="H47" s="165">
        <v>378</v>
      </c>
      <c r="I47" s="164">
        <f t="shared" si="0"/>
        <v>273</v>
      </c>
      <c r="J47" s="151">
        <v>1</v>
      </c>
      <c r="K47" s="151">
        <f t="shared" si="1"/>
        <v>0.72</v>
      </c>
      <c r="L47" s="152">
        <v>0.28000000000000003</v>
      </c>
      <c r="M47" s="162">
        <v>3</v>
      </c>
      <c r="N47" s="154"/>
      <c r="O47" s="153"/>
    </row>
    <row r="48" spans="1:15" ht="15.75" customHeight="1">
      <c r="A48" s="47">
        <v>37</v>
      </c>
      <c r="B48" s="159" t="s">
        <v>162</v>
      </c>
      <c r="C48" s="92"/>
      <c r="D48" s="92"/>
      <c r="E48" s="92" t="s">
        <v>87</v>
      </c>
      <c r="F48" s="92"/>
      <c r="G48" s="169">
        <v>7</v>
      </c>
      <c r="H48" s="165">
        <v>398</v>
      </c>
      <c r="I48" s="164">
        <f t="shared" si="0"/>
        <v>287</v>
      </c>
      <c r="J48" s="151">
        <v>1</v>
      </c>
      <c r="K48" s="151">
        <f t="shared" si="1"/>
        <v>0.72</v>
      </c>
      <c r="L48" s="152">
        <v>0.28000000000000003</v>
      </c>
      <c r="M48" s="162">
        <v>2</v>
      </c>
      <c r="N48" s="154"/>
      <c r="O48" s="153"/>
    </row>
    <row r="49" spans="1:15" ht="15.75" customHeight="1">
      <c r="A49" s="47">
        <v>38</v>
      </c>
      <c r="B49" s="159" t="s">
        <v>161</v>
      </c>
      <c r="C49" s="92"/>
      <c r="D49" s="92"/>
      <c r="E49" s="92"/>
      <c r="F49" s="92"/>
      <c r="G49" s="169">
        <v>5</v>
      </c>
      <c r="H49" s="165">
        <v>248</v>
      </c>
      <c r="I49" s="164">
        <f t="shared" si="0"/>
        <v>179</v>
      </c>
      <c r="J49" s="151">
        <v>1</v>
      </c>
      <c r="K49" s="151">
        <f t="shared" si="1"/>
        <v>0.72</v>
      </c>
      <c r="L49" s="152">
        <v>0.28000000000000003</v>
      </c>
      <c r="M49" s="162">
        <v>3</v>
      </c>
      <c r="N49" s="154"/>
      <c r="O49" s="154"/>
    </row>
    <row r="50" spans="1:15" ht="15.75" customHeight="1">
      <c r="A50" s="47">
        <v>39</v>
      </c>
      <c r="B50" s="159" t="s">
        <v>39</v>
      </c>
      <c r="C50" s="92"/>
      <c r="D50" s="92" t="s">
        <v>91</v>
      </c>
      <c r="E50" s="102" t="s">
        <v>156</v>
      </c>
      <c r="F50" s="92" t="s">
        <v>136</v>
      </c>
      <c r="G50" s="169">
        <v>3</v>
      </c>
      <c r="H50" s="165">
        <v>598</v>
      </c>
      <c r="I50" s="164">
        <f t="shared" si="0"/>
        <v>431</v>
      </c>
      <c r="J50" s="151">
        <v>1</v>
      </c>
      <c r="K50" s="151">
        <f t="shared" si="1"/>
        <v>0.72</v>
      </c>
      <c r="L50" s="152">
        <v>0.28000000000000003</v>
      </c>
      <c r="M50" s="162">
        <v>2</v>
      </c>
      <c r="N50" s="154"/>
      <c r="O50" s="154"/>
    </row>
    <row r="51" spans="1:15" ht="15.75" customHeight="1">
      <c r="A51" s="47">
        <v>40</v>
      </c>
      <c r="B51" s="159" t="s">
        <v>159</v>
      </c>
      <c r="C51" s="92"/>
      <c r="D51" s="92"/>
      <c r="E51" s="92" t="s">
        <v>155</v>
      </c>
      <c r="F51" s="92"/>
      <c r="G51" s="169">
        <v>5</v>
      </c>
      <c r="H51" s="165">
        <v>598</v>
      </c>
      <c r="I51" s="164">
        <f t="shared" ref="I51" si="3">ROUNDUP(H51*K51,0)</f>
        <v>431</v>
      </c>
      <c r="J51" s="151">
        <v>1</v>
      </c>
      <c r="K51" s="151">
        <f t="shared" ref="K51" si="4">J51-L51</f>
        <v>0.72</v>
      </c>
      <c r="L51" s="152">
        <v>0.28000000000000003</v>
      </c>
      <c r="M51" s="162">
        <v>2</v>
      </c>
      <c r="N51" s="154"/>
      <c r="O51" s="154"/>
    </row>
    <row r="52" spans="1:15" ht="14.25" hidden="1" customHeight="1">
      <c r="A52" s="47">
        <v>41</v>
      </c>
      <c r="B52" s="159"/>
      <c r="C52" s="92"/>
      <c r="D52" s="91"/>
      <c r="E52" s="91"/>
      <c r="F52" s="91"/>
      <c r="G52" s="149"/>
      <c r="H52" s="145"/>
      <c r="I52" s="144">
        <f t="shared" ref="I52" si="5">ROUNDUP(H52*K52,0)</f>
        <v>0</v>
      </c>
      <c r="J52" s="151">
        <v>1</v>
      </c>
      <c r="K52" s="151">
        <f t="shared" si="1"/>
        <v>0.72</v>
      </c>
      <c r="L52" s="152">
        <v>0.28000000000000003</v>
      </c>
      <c r="M52" s="148"/>
      <c r="N52" s="154"/>
      <c r="O52" s="154"/>
    </row>
    <row r="53" spans="1:15" ht="17.25" hidden="1" customHeight="1">
      <c r="A53" s="47">
        <v>42</v>
      </c>
      <c r="B53" s="159"/>
      <c r="C53" s="92"/>
      <c r="D53" s="91"/>
      <c r="E53" s="91"/>
      <c r="F53" s="91"/>
      <c r="G53" s="149"/>
      <c r="H53" s="145"/>
      <c r="I53" s="144">
        <f>ROUNDUP(H53*K53,0)</f>
        <v>0</v>
      </c>
      <c r="J53" s="151">
        <v>1</v>
      </c>
      <c r="K53" s="151">
        <f t="shared" si="1"/>
        <v>0.72</v>
      </c>
      <c r="L53" s="152">
        <v>0.28000000000000003</v>
      </c>
      <c r="M53" s="148"/>
      <c r="N53" s="154"/>
      <c r="O53" s="154"/>
    </row>
    <row r="54" spans="1:15" ht="17.25" hidden="1" customHeight="1">
      <c r="A54" s="47">
        <v>43</v>
      </c>
      <c r="B54" s="159"/>
      <c r="C54" s="92"/>
      <c r="D54" s="91"/>
      <c r="E54" s="91"/>
      <c r="F54" s="91"/>
      <c r="G54" s="149"/>
      <c r="H54" s="145"/>
      <c r="I54" s="144">
        <f>ROUNDUP(H54*K54,0)</f>
        <v>0</v>
      </c>
      <c r="J54" s="151">
        <v>1</v>
      </c>
      <c r="K54" s="151">
        <f t="shared" si="1"/>
        <v>0.72</v>
      </c>
      <c r="L54" s="152">
        <v>0.28000000000000003</v>
      </c>
      <c r="M54" s="148"/>
      <c r="N54" s="154"/>
      <c r="O54" s="154"/>
    </row>
    <row r="55" spans="1:15" ht="18.75" hidden="1" customHeight="1">
      <c r="A55" s="47">
        <v>44</v>
      </c>
      <c r="B55" s="159"/>
      <c r="C55" s="92"/>
      <c r="D55" s="91"/>
      <c r="E55" s="91"/>
      <c r="F55" s="91"/>
      <c r="G55" s="149"/>
      <c r="H55" s="145"/>
      <c r="I55" s="144">
        <f t="shared" ref="I55" si="6">ROUNDUP(H55*K55,0)</f>
        <v>0</v>
      </c>
      <c r="J55" s="151">
        <v>1</v>
      </c>
      <c r="K55" s="151">
        <f t="shared" si="1"/>
        <v>0.72</v>
      </c>
      <c r="L55" s="152">
        <v>0.28000000000000003</v>
      </c>
      <c r="M55" s="148"/>
      <c r="N55" s="154"/>
      <c r="O55" s="154"/>
    </row>
    <row r="56" spans="1:15" ht="18.75" hidden="1" customHeight="1">
      <c r="A56" s="47">
        <v>45</v>
      </c>
      <c r="B56" s="159"/>
      <c r="C56" s="92"/>
      <c r="D56" s="91"/>
      <c r="E56" s="91"/>
      <c r="F56" s="91"/>
      <c r="G56" s="149"/>
      <c r="H56" s="145"/>
      <c r="I56" s="144">
        <f t="shared" si="0"/>
        <v>0</v>
      </c>
      <c r="J56" s="151">
        <v>1</v>
      </c>
      <c r="K56" s="151">
        <f t="shared" si="1"/>
        <v>0.72</v>
      </c>
      <c r="L56" s="152">
        <v>0.28000000000000003</v>
      </c>
      <c r="M56" s="148"/>
      <c r="N56" s="154"/>
      <c r="O56" s="154"/>
    </row>
    <row r="57" spans="1:15" ht="18.75" hidden="1" customHeight="1">
      <c r="A57" s="47">
        <v>46</v>
      </c>
      <c r="B57" s="159"/>
      <c r="C57" s="92"/>
      <c r="D57" s="91"/>
      <c r="E57" s="91"/>
      <c r="F57" s="91"/>
      <c r="G57" s="149"/>
      <c r="H57" s="145"/>
      <c r="I57" s="144">
        <f t="shared" si="0"/>
        <v>0</v>
      </c>
      <c r="J57" s="151">
        <v>1</v>
      </c>
      <c r="K57" s="151">
        <f t="shared" si="1"/>
        <v>0.72</v>
      </c>
      <c r="L57" s="152">
        <v>0.28000000000000003</v>
      </c>
      <c r="M57" s="148"/>
      <c r="N57" s="154"/>
      <c r="O57" s="154"/>
    </row>
    <row r="58" spans="1:15" ht="18.75" hidden="1" customHeight="1">
      <c r="A58" s="47">
        <v>47</v>
      </c>
      <c r="B58" s="159"/>
      <c r="C58" s="92"/>
      <c r="D58" s="91"/>
      <c r="E58" s="91"/>
      <c r="F58" s="91"/>
      <c r="G58" s="149"/>
      <c r="H58" s="145"/>
      <c r="I58" s="144">
        <f t="shared" si="0"/>
        <v>0</v>
      </c>
      <c r="J58" s="151">
        <v>1</v>
      </c>
      <c r="K58" s="151">
        <f t="shared" si="1"/>
        <v>0.72</v>
      </c>
      <c r="L58" s="152">
        <v>0.28000000000000003</v>
      </c>
      <c r="M58" s="148"/>
      <c r="N58" s="154"/>
      <c r="O58" s="154"/>
    </row>
    <row r="59" spans="1:15" ht="18.75" hidden="1" customHeight="1">
      <c r="A59" s="47">
        <v>48</v>
      </c>
      <c r="B59" s="159"/>
      <c r="C59" s="92"/>
      <c r="D59" s="91"/>
      <c r="E59" s="91"/>
      <c r="F59" s="91"/>
      <c r="G59" s="149"/>
      <c r="H59" s="145"/>
      <c r="I59" s="144">
        <f t="shared" si="0"/>
        <v>0</v>
      </c>
      <c r="J59" s="151">
        <v>1</v>
      </c>
      <c r="K59" s="151">
        <f t="shared" si="1"/>
        <v>0.72</v>
      </c>
      <c r="L59" s="152">
        <v>0.28000000000000003</v>
      </c>
      <c r="M59" s="148"/>
      <c r="N59" s="154"/>
      <c r="O59" s="154"/>
    </row>
    <row r="60" spans="1:15" ht="18.75" hidden="1" customHeight="1">
      <c r="A60" s="47">
        <v>49</v>
      </c>
      <c r="B60" s="159"/>
      <c r="C60" s="92"/>
      <c r="D60" s="91"/>
      <c r="E60" s="91"/>
      <c r="F60" s="91"/>
      <c r="G60" s="149"/>
      <c r="H60" s="145"/>
      <c r="I60" s="144">
        <f t="shared" si="0"/>
        <v>0</v>
      </c>
      <c r="J60" s="151">
        <v>1</v>
      </c>
      <c r="K60" s="151">
        <f t="shared" si="1"/>
        <v>0.72</v>
      </c>
      <c r="L60" s="152">
        <v>0.28000000000000003</v>
      </c>
      <c r="M60" s="148"/>
      <c r="N60" s="154"/>
      <c r="O60" s="154"/>
    </row>
    <row r="61" spans="1:15" ht="18.75" hidden="1" customHeight="1">
      <c r="A61" s="47">
        <v>50</v>
      </c>
      <c r="B61" s="159"/>
      <c r="C61" s="49"/>
      <c r="D61" s="47"/>
      <c r="E61" s="47"/>
      <c r="F61" s="47"/>
      <c r="G61" s="149"/>
      <c r="H61" s="145"/>
      <c r="I61" s="144">
        <f t="shared" si="0"/>
        <v>0</v>
      </c>
      <c r="J61" s="151">
        <v>1</v>
      </c>
      <c r="K61" s="151">
        <f t="shared" si="1"/>
        <v>0.72</v>
      </c>
      <c r="L61" s="152">
        <v>0.28000000000000003</v>
      </c>
      <c r="M61" s="148"/>
      <c r="N61" s="154"/>
      <c r="O61" s="154"/>
    </row>
    <row r="62" spans="1:15" ht="18.75" hidden="1" customHeight="1">
      <c r="A62" s="47">
        <v>51</v>
      </c>
      <c r="B62" s="159"/>
      <c r="C62" s="49"/>
      <c r="D62" s="47"/>
      <c r="E62" s="47"/>
      <c r="F62" s="47"/>
      <c r="G62" s="149"/>
      <c r="H62" s="145"/>
      <c r="I62" s="144">
        <f t="shared" si="0"/>
        <v>0</v>
      </c>
      <c r="J62" s="151">
        <v>1</v>
      </c>
      <c r="K62" s="151">
        <f t="shared" si="1"/>
        <v>0.72</v>
      </c>
      <c r="L62" s="152">
        <v>0.28000000000000003</v>
      </c>
      <c r="M62" s="148"/>
      <c r="N62" s="154"/>
      <c r="O62" s="154"/>
    </row>
    <row r="63" spans="1:15" ht="18.75" hidden="1" customHeight="1">
      <c r="A63" s="47">
        <v>52</v>
      </c>
      <c r="B63" s="159"/>
      <c r="C63" s="49"/>
      <c r="D63" s="47"/>
      <c r="E63" s="47"/>
      <c r="F63" s="47"/>
      <c r="G63" s="149"/>
      <c r="H63" s="145"/>
      <c r="I63" s="144">
        <f t="shared" si="0"/>
        <v>0</v>
      </c>
      <c r="J63" s="151">
        <v>1</v>
      </c>
      <c r="K63" s="151">
        <f t="shared" si="1"/>
        <v>0.72</v>
      </c>
      <c r="L63" s="152">
        <v>0.28000000000000003</v>
      </c>
      <c r="M63" s="148"/>
      <c r="N63" s="154"/>
      <c r="O63" s="154"/>
    </row>
    <row r="64" spans="1:15" ht="18.75" hidden="1" customHeight="1">
      <c r="A64" s="11"/>
      <c r="B64" s="160" t="s">
        <v>70</v>
      </c>
      <c r="C64" s="18"/>
      <c r="D64" s="11"/>
      <c r="E64" s="11"/>
      <c r="F64" s="11"/>
      <c r="G64" s="150"/>
      <c r="H64" s="146"/>
      <c r="I64" s="147">
        <v>0</v>
      </c>
      <c r="J64" s="155"/>
      <c r="K64" s="155"/>
      <c r="L64" s="152">
        <v>0.28000000000000003</v>
      </c>
      <c r="M64" s="166"/>
      <c r="N64" s="156">
        <f>IF(SUM(N13:N63)&lt;&gt;0,550,0)</f>
        <v>0</v>
      </c>
      <c r="O64" s="156">
        <f t="shared" ref="O64" si="7">IF(SUM(O13:O63)&lt;&gt;0,550,0)</f>
        <v>0</v>
      </c>
    </row>
    <row r="65" spans="2:15" ht="2.25" customHeight="1">
      <c r="M65" s="167"/>
    </row>
    <row r="66" spans="2:15" ht="14.25" customHeight="1">
      <c r="B66" s="107" t="s">
        <v>112</v>
      </c>
      <c r="C66" s="18"/>
      <c r="D66" s="202" t="s">
        <v>113</v>
      </c>
      <c r="E66" s="202"/>
      <c r="G66" s="3" t="s">
        <v>122</v>
      </c>
      <c r="H66" s="113"/>
      <c r="I66" s="113"/>
      <c r="L66" s="108"/>
    </row>
    <row r="67" spans="2:15" ht="13.5" customHeight="1">
      <c r="B67" s="119" t="s">
        <v>114</v>
      </c>
      <c r="C67" s="109" t="s">
        <v>115</v>
      </c>
      <c r="D67" s="203" t="s">
        <v>116</v>
      </c>
      <c r="E67" s="203"/>
      <c r="G67" s="175" t="s">
        <v>139</v>
      </c>
      <c r="H67" s="175"/>
      <c r="I67" s="175"/>
      <c r="J67" s="175"/>
      <c r="K67" s="175"/>
      <c r="L67" s="175"/>
      <c r="M67" s="175"/>
      <c r="N67" s="175"/>
      <c r="O67" s="175"/>
    </row>
    <row r="68" spans="2:15" ht="13.5" customHeight="1">
      <c r="B68" s="119" t="s">
        <v>117</v>
      </c>
      <c r="C68" s="109" t="s">
        <v>115</v>
      </c>
      <c r="D68" s="203" t="s">
        <v>118</v>
      </c>
      <c r="E68" s="203"/>
      <c r="G68" s="199" t="s">
        <v>138</v>
      </c>
      <c r="H68" s="199"/>
      <c r="I68" s="199"/>
      <c r="J68" s="199"/>
      <c r="K68" s="199"/>
      <c r="L68" s="199"/>
      <c r="M68" s="199"/>
      <c r="N68" s="199"/>
      <c r="O68" s="199"/>
    </row>
    <row r="69" spans="2:15" ht="13.5" customHeight="1">
      <c r="B69" s="119" t="s">
        <v>119</v>
      </c>
      <c r="C69" s="109" t="s">
        <v>115</v>
      </c>
      <c r="D69" s="203" t="s">
        <v>120</v>
      </c>
      <c r="E69" s="203"/>
      <c r="G69" s="206" t="s">
        <v>141</v>
      </c>
      <c r="H69" s="199"/>
      <c r="I69" s="199"/>
      <c r="J69" s="199"/>
      <c r="K69" s="199"/>
      <c r="L69" s="199"/>
      <c r="M69" s="199"/>
      <c r="N69" s="199"/>
      <c r="O69" s="199"/>
    </row>
    <row r="70" spans="2:15" ht="13.5" customHeight="1">
      <c r="G70" s="199"/>
      <c r="H70" s="199"/>
      <c r="I70" s="199"/>
      <c r="J70" s="199"/>
      <c r="K70" s="199"/>
      <c r="L70" s="199"/>
      <c r="M70" s="199"/>
      <c r="N70" s="199"/>
      <c r="O70" s="199"/>
    </row>
    <row r="71" spans="2:15" ht="12.75" customHeight="1">
      <c r="G71" s="176"/>
      <c r="H71" s="176"/>
      <c r="I71" s="176"/>
      <c r="J71" s="176"/>
      <c r="K71" s="176"/>
      <c r="L71" s="176"/>
      <c r="M71" s="176"/>
      <c r="N71" s="177"/>
      <c r="O71" s="176"/>
    </row>
  </sheetData>
  <sheetProtection insertColumns="0" insertRows="0" deleteColumns="0" deleteRows="0" selectLockedCells="1"/>
  <mergeCells count="13">
    <mergeCell ref="G70:O70"/>
    <mergeCell ref="I6:N6"/>
    <mergeCell ref="B10:G10"/>
    <mergeCell ref="D66:E66"/>
    <mergeCell ref="D67:E67"/>
    <mergeCell ref="D68:E68"/>
    <mergeCell ref="C7:G7"/>
    <mergeCell ref="C6:G6"/>
    <mergeCell ref="D69:E69"/>
    <mergeCell ref="G68:O68"/>
    <mergeCell ref="G69:O69"/>
    <mergeCell ref="N9:O9"/>
    <mergeCell ref="L9:M9"/>
  </mergeCells>
  <phoneticPr fontId="2"/>
  <pageMargins left="0.51181102362204722" right="0" top="0.31496062992125984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061-8FC4-4238-9BED-0D667B399CB8}">
  <sheetPr codeName="Sheet1">
    <tabColor rgb="FFFFCCFF"/>
  </sheetPr>
  <dimension ref="A1:AE71"/>
  <sheetViews>
    <sheetView topLeftCell="A17" zoomScale="110" zoomScaleNormal="110" workbookViewId="0">
      <pane xSplit="12" topLeftCell="M1" activePane="topRight" state="frozen"/>
      <selection activeCell="A7" sqref="A1:XFD7"/>
      <selection pane="topRight" activeCell="P25" sqref="P25"/>
    </sheetView>
  </sheetViews>
  <sheetFormatPr defaultColWidth="8.75" defaultRowHeight="18.75"/>
  <cols>
    <col min="1" max="1" width="3.125" style="41" customWidth="1"/>
    <col min="2" max="2" width="18.625" style="41" customWidth="1"/>
    <col min="3" max="3" width="4.75" style="41" hidden="1" customWidth="1"/>
    <col min="4" max="4" width="6" style="41" hidden="1" customWidth="1"/>
    <col min="5" max="5" width="6" style="41" customWidth="1"/>
    <col min="6" max="6" width="4.375" style="41" customWidth="1"/>
    <col min="7" max="7" width="5" style="41" customWidth="1"/>
    <col min="8" max="8" width="6.125" style="41" customWidth="1"/>
    <col min="9" max="9" width="6.25" style="41" customWidth="1"/>
    <col min="10" max="11" width="7" style="41" customWidth="1"/>
    <col min="12" max="13" width="5.375" style="41" customWidth="1"/>
    <col min="14" max="14" width="9.25" style="42" hidden="1" customWidth="1"/>
    <col min="15" max="15" width="7.125" style="137" hidden="1" customWidth="1"/>
    <col min="16" max="16" width="9.125" style="41" customWidth="1"/>
    <col min="17" max="17" width="7.125" style="41" hidden="1" customWidth="1"/>
    <col min="18" max="18" width="8.875" style="41" customWidth="1"/>
    <col min="19" max="19" width="7.125" style="41" hidden="1" customWidth="1"/>
    <col min="20" max="27" width="7" style="41" hidden="1" customWidth="1"/>
    <col min="28" max="28" width="1.25" style="41" customWidth="1"/>
    <col min="29" max="29" width="8" style="87" customWidth="1"/>
    <col min="30" max="30" width="5.875" style="57" customWidth="1"/>
    <col min="31" max="16384" width="8.75" style="41"/>
  </cols>
  <sheetData>
    <row r="1" spans="1:31" ht="9.6" hidden="1" customHeight="1"/>
    <row r="2" spans="1:31" ht="9.6" hidden="1" customHeight="1"/>
    <row r="3" spans="1:31" ht="9.6" hidden="1" customHeight="1"/>
    <row r="4" spans="1:31" ht="9.6" hidden="1" customHeight="1"/>
    <row r="5" spans="1:31" ht="9.6" hidden="1" customHeight="1"/>
    <row r="6" spans="1:31" ht="20.45" hidden="1" customHeight="1">
      <c r="B6" s="43"/>
      <c r="C6" s="43"/>
      <c r="D6" s="43"/>
      <c r="E6" s="43"/>
      <c r="F6" s="43"/>
      <c r="G6" s="44"/>
    </row>
    <row r="7" spans="1:31" ht="20.45" hidden="1" customHeight="1">
      <c r="B7" s="43"/>
      <c r="C7" s="43"/>
      <c r="D7" s="43"/>
      <c r="E7" s="43"/>
      <c r="F7" s="43"/>
      <c r="G7" s="44"/>
    </row>
    <row r="8" spans="1:31" s="45" customFormat="1" ht="31.9" customHeight="1" thickBot="1">
      <c r="B8" s="90" t="s">
        <v>104</v>
      </c>
      <c r="C8" s="90"/>
      <c r="D8" s="90"/>
      <c r="E8" s="210" t="s">
        <v>103</v>
      </c>
      <c r="F8" s="210"/>
      <c r="G8" s="209">
        <v>46224</v>
      </c>
      <c r="H8" s="209"/>
      <c r="I8" s="209"/>
      <c r="J8" s="209"/>
      <c r="K8" s="209"/>
      <c r="L8" s="209"/>
      <c r="M8" s="42"/>
      <c r="N8" s="42"/>
      <c r="O8" s="137"/>
      <c r="AC8" s="58" t="s">
        <v>68</v>
      </c>
      <c r="AD8" s="57"/>
    </row>
    <row r="9" spans="1:31" s="45" customFormat="1" ht="1.1499999999999999" customHeight="1" thickTop="1">
      <c r="B9" s="46"/>
      <c r="C9" s="46"/>
      <c r="D9" s="46"/>
      <c r="E9" s="46"/>
      <c r="F9" s="46"/>
      <c r="G9" s="46">
        <v>3</v>
      </c>
      <c r="H9" s="93"/>
      <c r="I9" s="43"/>
      <c r="J9" s="43"/>
      <c r="K9" s="43"/>
      <c r="N9" s="46"/>
      <c r="O9" s="138"/>
      <c r="AC9" s="87"/>
      <c r="AD9" s="57"/>
    </row>
    <row r="10" spans="1:31" ht="1.1499999999999999" customHeight="1">
      <c r="B10" s="43"/>
      <c r="C10" s="43"/>
      <c r="D10" s="43"/>
      <c r="E10" s="43"/>
      <c r="F10" s="43"/>
      <c r="I10" s="43"/>
      <c r="J10" s="43"/>
      <c r="K10" s="43"/>
      <c r="L10" s="43"/>
      <c r="M10" s="43"/>
      <c r="N10" s="46"/>
      <c r="O10" s="138"/>
    </row>
    <row r="11" spans="1:31" ht="1.1499999999999999" customHeight="1">
      <c r="B11" s="43"/>
      <c r="C11" s="43"/>
      <c r="D11" s="43"/>
      <c r="E11" s="43"/>
      <c r="F11" s="43"/>
      <c r="I11" s="43"/>
      <c r="J11" s="43"/>
      <c r="K11" s="43"/>
      <c r="L11" s="43"/>
      <c r="M11" s="43"/>
      <c r="N11" s="46"/>
      <c r="O11" s="138"/>
    </row>
    <row r="12" spans="1:31" ht="31.9" customHeight="1">
      <c r="A12" s="11"/>
      <c r="B12" s="131" t="s">
        <v>1</v>
      </c>
      <c r="C12" s="131" t="s">
        <v>81</v>
      </c>
      <c r="D12" s="131" t="s">
        <v>82</v>
      </c>
      <c r="E12" s="131" t="s">
        <v>82</v>
      </c>
      <c r="F12" s="131" t="s">
        <v>83</v>
      </c>
      <c r="G12" s="112" t="s">
        <v>2</v>
      </c>
      <c r="H12" s="95" t="s">
        <v>3</v>
      </c>
      <c r="I12" s="95" t="s">
        <v>4</v>
      </c>
      <c r="J12" s="65"/>
      <c r="K12" s="65"/>
      <c r="L12" s="66" t="s">
        <v>5</v>
      </c>
      <c r="M12" s="96" t="s">
        <v>102</v>
      </c>
      <c r="N12" s="67" t="s">
        <v>124</v>
      </c>
      <c r="O12" s="139"/>
      <c r="P12" s="67" t="s">
        <v>125</v>
      </c>
      <c r="Q12" s="67"/>
      <c r="R12" s="67" t="s">
        <v>126</v>
      </c>
      <c r="S12" s="67"/>
      <c r="T12" s="67" t="s">
        <v>127</v>
      </c>
      <c r="U12" s="67"/>
      <c r="V12" s="67" t="s">
        <v>128</v>
      </c>
      <c r="W12" s="67"/>
      <c r="X12" s="67" t="s">
        <v>59</v>
      </c>
      <c r="Y12" s="67"/>
      <c r="Z12" s="67" t="s">
        <v>60</v>
      </c>
      <c r="AA12" s="67"/>
      <c r="AB12" s="1"/>
      <c r="AC12" s="68" t="s">
        <v>67</v>
      </c>
      <c r="AD12" s="69" t="s">
        <v>69</v>
      </c>
    </row>
    <row r="13" spans="1:31" ht="13.5" customHeight="1">
      <c r="A13" s="11">
        <v>1</v>
      </c>
      <c r="B13" s="120" t="str">
        <f>IF('印刷・FAX　発注書'!B13="","",'印刷・FAX　発注書'!B13)</f>
        <v>バナナ</v>
      </c>
      <c r="C13" s="121" t="str">
        <f>IF('印刷・FAX　発注書'!C13="","",'印刷・FAX　発注書'!C13)</f>
        <v/>
      </c>
      <c r="D13" s="121" t="str">
        <f>IF('印刷・FAX　発注書'!D13="","",'印刷・FAX　発注書'!D13)</f>
        <v>太め</v>
      </c>
      <c r="E13" s="121" t="str">
        <f>IF('印刷・FAX　発注書'!E13="","",'印刷・FAX　発注書'!E13)</f>
        <v>１本</v>
      </c>
      <c r="F13" s="121" t="str">
        <f>IF('印刷・FAX　発注書'!F13="","",'印刷・FAX　発注書'!F13)</f>
        <v>常温</v>
      </c>
      <c r="G13" s="121">
        <f>IF('印刷・FAX　発注書'!G13="","",'印刷・FAX　発注書'!G13)</f>
        <v>3</v>
      </c>
      <c r="H13" s="132">
        <f>IF('印刷・FAX　発注書'!H13="","",'印刷・FAX　発注書'!H13)</f>
        <v>98</v>
      </c>
      <c r="I13" s="133">
        <f t="shared" ref="I13:I69" si="0">IFERROR(ROUNDUP(H13*K13,0),"")</f>
        <v>71</v>
      </c>
      <c r="J13" s="134">
        <v>1</v>
      </c>
      <c r="K13" s="134">
        <f>J13-L13</f>
        <v>0.72</v>
      </c>
      <c r="L13" s="135">
        <f>'印刷・FAX　発注書'!L13</f>
        <v>0.28000000000000003</v>
      </c>
      <c r="M13" s="132">
        <f>IF('印刷・FAX　発注書'!M13="","",'印刷・FAX　発注書'!M13)</f>
        <v>4</v>
      </c>
      <c r="N13" s="48"/>
      <c r="O13" s="142">
        <f>IFERROR($M13*N13,0)</f>
        <v>0</v>
      </c>
      <c r="P13" s="42"/>
      <c r="Q13" s="142">
        <f t="shared" ref="Q13:Q55" si="1">IFERROR($M13*P13,0)</f>
        <v>0</v>
      </c>
      <c r="R13" s="48"/>
      <c r="S13" s="142">
        <f>IFERROR($M13*R13,0)</f>
        <v>0</v>
      </c>
      <c r="T13" s="48"/>
      <c r="U13" s="142">
        <f>IFERROR($M13*T13,0)</f>
        <v>0</v>
      </c>
      <c r="V13" s="48"/>
      <c r="W13" s="142">
        <f>IFERROR($M13*V13,0)</f>
        <v>0</v>
      </c>
      <c r="X13" s="48"/>
      <c r="Y13" s="142">
        <f>IFERROR($M13*X13,0)</f>
        <v>0</v>
      </c>
      <c r="Z13" s="48"/>
      <c r="AA13" s="142">
        <f>IFERROR($M13*Z13,0)</f>
        <v>0</v>
      </c>
      <c r="AC13" s="88">
        <f t="shared" ref="AC13:AC70" si="2">IFERROR((N13+P13+R13)*M13,"")</f>
        <v>0</v>
      </c>
      <c r="AD13" s="60">
        <f t="shared" ref="AD13:AD66" si="3">IFERROR(I13*AC13,"")</f>
        <v>0</v>
      </c>
      <c r="AE13" s="59"/>
    </row>
    <row r="14" spans="1:31" ht="13.5" customHeight="1">
      <c r="A14" s="11">
        <v>2</v>
      </c>
      <c r="B14" s="120" t="str">
        <f>IF('印刷・FAX　発注書'!B14="","",'印刷・FAX　発注書'!B14)</f>
        <v>バナナ</v>
      </c>
      <c r="C14" s="121" t="str">
        <f>IF('印刷・FAX　発注書'!C14="","",'印刷・FAX　発注書'!C14)</f>
        <v/>
      </c>
      <c r="D14" s="121" t="str">
        <f>IF('印刷・FAX　発注書'!D14="","",'印刷・FAX　発注書'!D14)</f>
        <v/>
      </c>
      <c r="E14" s="121" t="str">
        <f>IF('印刷・FAX　発注書'!E14="","",'印刷・FAX　発注書'!E14)</f>
        <v>パック</v>
      </c>
      <c r="F14" s="121" t="str">
        <f>IF('印刷・FAX　発注書'!F14="","",'印刷・FAX　発注書'!F14)</f>
        <v/>
      </c>
      <c r="G14" s="121">
        <f>IF('印刷・FAX　発注書'!G14="","",'印刷・FAX　発注書'!G14)</f>
        <v>3</v>
      </c>
      <c r="H14" s="132">
        <f>IF('印刷・FAX　発注書'!H14="","",'印刷・FAX　発注書'!H14)</f>
        <v>216</v>
      </c>
      <c r="I14" s="133">
        <f t="shared" si="0"/>
        <v>156</v>
      </c>
      <c r="J14" s="134">
        <v>1</v>
      </c>
      <c r="K14" s="134">
        <f t="shared" ref="K14:K69" si="4">J14-L14</f>
        <v>0.72</v>
      </c>
      <c r="L14" s="135">
        <f>'印刷・FAX　発注書'!L14</f>
        <v>0.28000000000000003</v>
      </c>
      <c r="M14" s="132">
        <f>IF('印刷・FAX　発注書'!M14="","",'印刷・FAX　発注書'!M14)</f>
        <v>5</v>
      </c>
      <c r="N14" s="48"/>
      <c r="O14" s="142">
        <f t="shared" ref="O14:O66" si="5">IFERROR($M14*N14,0)</f>
        <v>0</v>
      </c>
      <c r="P14" s="48">
        <v>1</v>
      </c>
      <c r="Q14" s="142">
        <f t="shared" si="1"/>
        <v>5</v>
      </c>
      <c r="R14" s="48"/>
      <c r="S14" s="142">
        <f t="shared" ref="S14:S69" si="6">IFERROR($M14*R14,0)</f>
        <v>0</v>
      </c>
      <c r="T14" s="48"/>
      <c r="U14" s="142">
        <f t="shared" ref="U14:U69" si="7">IFERROR($M14*T14,0)</f>
        <v>0</v>
      </c>
      <c r="V14" s="48"/>
      <c r="W14" s="142">
        <f t="shared" ref="W14:W69" si="8">IFERROR($M14*V14,0)</f>
        <v>0</v>
      </c>
      <c r="X14" s="48"/>
      <c r="Y14" s="142">
        <f t="shared" ref="Y14:Y69" si="9">IFERROR($M14*X14,0)</f>
        <v>0</v>
      </c>
      <c r="Z14" s="48"/>
      <c r="AA14" s="142">
        <f t="shared" ref="AA14:AA69" si="10">IFERROR($M14*Z14,0)</f>
        <v>0</v>
      </c>
      <c r="AC14" s="88">
        <f t="shared" si="2"/>
        <v>5</v>
      </c>
      <c r="AD14" s="60">
        <f t="shared" si="3"/>
        <v>780</v>
      </c>
      <c r="AE14" s="59"/>
    </row>
    <row r="15" spans="1:31" ht="13.5" customHeight="1">
      <c r="A15" s="11">
        <v>3</v>
      </c>
      <c r="B15" s="120" t="str">
        <f>IF('印刷・FAX　発注書'!B15="","",'印刷・FAX　発注書'!B15)</f>
        <v>新玉ねぎ</v>
      </c>
      <c r="C15" s="121" t="str">
        <f>IF('印刷・FAX　発注書'!C15="","",'印刷・FAX　発注書'!C15)</f>
        <v/>
      </c>
      <c r="D15" s="121" t="str">
        <f>IF('印刷・FAX　発注書'!D15="","",'印刷・FAX　発注書'!D15)</f>
        <v>M</v>
      </c>
      <c r="E15" s="121" t="str">
        <f>IF('印刷・FAX　発注書'!E15="","",'印刷・FAX　発注書'!E15)</f>
        <v>2個</v>
      </c>
      <c r="F15" s="121" t="str">
        <f>IF('印刷・FAX　発注書'!F15="","",'印刷・FAX　発注書'!F15)</f>
        <v/>
      </c>
      <c r="G15" s="121" t="str">
        <f>IF('印刷・FAX　発注書'!G15="","",'印刷・FAX　発注書'!G15)</f>
        <v/>
      </c>
      <c r="H15" s="132">
        <f>IF('印刷・FAX　発注書'!H15="","",'印刷・FAX　発注書'!H15)</f>
        <v>158</v>
      </c>
      <c r="I15" s="133">
        <f t="shared" ref="I15" si="11">IFERROR(ROUNDUP(H15*K15,0),"")</f>
        <v>272</v>
      </c>
      <c r="J15" s="134">
        <v>2</v>
      </c>
      <c r="K15" s="134">
        <f t="shared" ref="K15" si="12">J15-L15</f>
        <v>1.72</v>
      </c>
      <c r="L15" s="135">
        <f>'印刷・FAX　発注書'!L15</f>
        <v>0.28000000000000003</v>
      </c>
      <c r="M15" s="132">
        <f>IF('印刷・FAX　発注書'!M15="","",'印刷・FAX　発注書'!M15)</f>
        <v>5</v>
      </c>
      <c r="N15" s="48"/>
      <c r="O15" s="142">
        <f t="shared" ref="O15" si="13">IFERROR($M15*N15,0)</f>
        <v>0</v>
      </c>
      <c r="P15" s="48"/>
      <c r="Q15" s="142">
        <f t="shared" ref="Q15" si="14">IFERROR($M15*P15,0)</f>
        <v>0</v>
      </c>
      <c r="R15" s="48"/>
      <c r="S15" s="142">
        <f t="shared" si="6"/>
        <v>0</v>
      </c>
      <c r="T15" s="48"/>
      <c r="U15" s="142">
        <f t="shared" si="7"/>
        <v>0</v>
      </c>
      <c r="V15" s="48"/>
      <c r="W15" s="142">
        <f t="shared" si="8"/>
        <v>0</v>
      </c>
      <c r="X15" s="48"/>
      <c r="Y15" s="142">
        <f t="shared" si="9"/>
        <v>0</v>
      </c>
      <c r="Z15" s="48"/>
      <c r="AA15" s="142">
        <f t="shared" si="10"/>
        <v>0</v>
      </c>
      <c r="AC15" s="88">
        <f t="shared" si="2"/>
        <v>0</v>
      </c>
      <c r="AD15" s="60">
        <f t="shared" si="3"/>
        <v>0</v>
      </c>
      <c r="AE15" s="59"/>
    </row>
    <row r="16" spans="1:31" ht="13.5" customHeight="1">
      <c r="A16" s="11">
        <v>4</v>
      </c>
      <c r="B16" s="120" t="str">
        <f>IF('印刷・FAX　発注書'!B15="","",'印刷・FAX　発注書'!B15)</f>
        <v>新玉ねぎ</v>
      </c>
      <c r="C16" s="121" t="str">
        <f>IF('印刷・FAX　発注書'!C15="","",'印刷・FAX　発注書'!C15)</f>
        <v/>
      </c>
      <c r="D16" s="121" t="str">
        <f>IF('印刷・FAX　発注書'!D15="","",'印刷・FAX　発注書'!D15)</f>
        <v>M</v>
      </c>
      <c r="E16" s="121" t="str">
        <f>IF('印刷・FAX　発注書'!E15="","",'印刷・FAX　発注書'!E15)</f>
        <v>2個</v>
      </c>
      <c r="F16" s="121" t="str">
        <f>IF('印刷・FAX　発注書'!F15="","",'印刷・FAX　発注書'!F15)</f>
        <v/>
      </c>
      <c r="G16" s="121" t="str">
        <f>IF('印刷・FAX　発注書'!G15="","",'印刷・FAX　発注書'!G15)</f>
        <v/>
      </c>
      <c r="H16" s="132">
        <f>IF('印刷・FAX　発注書'!H15="","",'印刷・FAX　発注書'!H15)</f>
        <v>158</v>
      </c>
      <c r="I16" s="133">
        <f t="shared" si="0"/>
        <v>114</v>
      </c>
      <c r="J16" s="134">
        <v>1</v>
      </c>
      <c r="K16" s="134">
        <f t="shared" si="4"/>
        <v>0.72</v>
      </c>
      <c r="L16" s="135">
        <f>'印刷・FAX　発注書'!L15</f>
        <v>0.28000000000000003</v>
      </c>
      <c r="M16" s="132">
        <f>IF('印刷・FAX　発注書'!M15="","",'印刷・FAX　発注書'!M15)</f>
        <v>5</v>
      </c>
      <c r="N16" s="48"/>
      <c r="O16" s="142">
        <f t="shared" si="5"/>
        <v>0</v>
      </c>
      <c r="P16" s="48">
        <v>1</v>
      </c>
      <c r="Q16" s="142">
        <f t="shared" si="1"/>
        <v>5</v>
      </c>
      <c r="R16" s="48"/>
      <c r="S16" s="142">
        <f t="shared" si="6"/>
        <v>0</v>
      </c>
      <c r="T16" s="48"/>
      <c r="U16" s="142">
        <f t="shared" si="7"/>
        <v>0</v>
      </c>
      <c r="V16" s="48"/>
      <c r="W16" s="142">
        <f t="shared" si="8"/>
        <v>0</v>
      </c>
      <c r="X16" s="48"/>
      <c r="Y16" s="142">
        <f t="shared" si="9"/>
        <v>0</v>
      </c>
      <c r="Z16" s="48"/>
      <c r="AA16" s="142">
        <f t="shared" si="10"/>
        <v>0</v>
      </c>
      <c r="AC16" s="88">
        <f t="shared" si="2"/>
        <v>5</v>
      </c>
      <c r="AD16" s="60">
        <f t="shared" si="3"/>
        <v>570</v>
      </c>
      <c r="AE16" s="59"/>
    </row>
    <row r="17" spans="1:31" ht="13.5" customHeight="1">
      <c r="A17" s="11">
        <v>5</v>
      </c>
      <c r="B17" s="120" t="str">
        <f>IF('印刷・FAX　発注書'!B16="","",'印刷・FAX　発注書'!B16)</f>
        <v>人参（冷蔵保存）</v>
      </c>
      <c r="C17" s="121" t="str">
        <f>IF('印刷・FAX　発注書'!C16="","",'印刷・FAX　発注書'!C16)</f>
        <v/>
      </c>
      <c r="D17" s="121" t="str">
        <f>IF('印刷・FAX　発注書'!D16="","",'印刷・FAX　発注書'!D16)</f>
        <v>S~L</v>
      </c>
      <c r="E17" s="121" t="str">
        <f>IF('印刷・FAX　発注書'!E16="","",'印刷・FAX　発注書'!E16)</f>
        <v/>
      </c>
      <c r="F17" s="121" t="str">
        <f>IF('印刷・FAX　発注書'!F16="","",'印刷・FAX　発注書'!F16)</f>
        <v/>
      </c>
      <c r="G17" s="121">
        <f>IF('印刷・FAX　発注書'!G16="","",'印刷・FAX　発注書'!G16)</f>
        <v>5</v>
      </c>
      <c r="H17" s="132">
        <f>IF('印刷・FAX　発注書'!H16="","",'印刷・FAX　発注書'!H16)</f>
        <v>128</v>
      </c>
      <c r="I17" s="133">
        <f t="shared" si="0"/>
        <v>93</v>
      </c>
      <c r="J17" s="134">
        <v>1</v>
      </c>
      <c r="K17" s="134">
        <f t="shared" si="4"/>
        <v>0.72</v>
      </c>
      <c r="L17" s="135">
        <f>'印刷・FAX　発注書'!L16</f>
        <v>0.28000000000000003</v>
      </c>
      <c r="M17" s="132">
        <f>IF('印刷・FAX　発注書'!M16="","",'印刷・FAX　発注書'!M16)</f>
        <v>5</v>
      </c>
      <c r="N17" s="48"/>
      <c r="O17" s="142">
        <f t="shared" si="5"/>
        <v>0</v>
      </c>
      <c r="P17" s="48"/>
      <c r="Q17" s="142">
        <f t="shared" si="1"/>
        <v>0</v>
      </c>
      <c r="R17" s="48"/>
      <c r="S17" s="142">
        <f t="shared" si="6"/>
        <v>0</v>
      </c>
      <c r="T17" s="48"/>
      <c r="U17" s="142">
        <f t="shared" si="7"/>
        <v>0</v>
      </c>
      <c r="V17" s="48"/>
      <c r="W17" s="142">
        <f t="shared" si="8"/>
        <v>0</v>
      </c>
      <c r="X17" s="48"/>
      <c r="Y17" s="142">
        <f t="shared" si="9"/>
        <v>0</v>
      </c>
      <c r="Z17" s="48"/>
      <c r="AA17" s="142">
        <f t="shared" si="10"/>
        <v>0</v>
      </c>
      <c r="AC17" s="88">
        <f t="shared" si="2"/>
        <v>0</v>
      </c>
      <c r="AD17" s="60">
        <f t="shared" si="3"/>
        <v>0</v>
      </c>
      <c r="AE17" s="59"/>
    </row>
    <row r="18" spans="1:31" ht="13.5" customHeight="1">
      <c r="A18" s="11">
        <v>6</v>
      </c>
      <c r="B18" s="120" t="str">
        <f>IF('印刷・FAX　発注書'!B17="","",'印刷・FAX　発注書'!B17)</f>
        <v/>
      </c>
      <c r="C18" s="121" t="str">
        <f>IF('印刷・FAX　発注書'!C17="","",'印刷・FAX　発注書'!C17)</f>
        <v/>
      </c>
      <c r="D18" s="121" t="str">
        <f>IF('印刷・FAX　発注書'!D17="","",'印刷・FAX　発注書'!D17)</f>
        <v/>
      </c>
      <c r="E18" s="121" t="str">
        <f>IF('印刷・FAX　発注書'!E17="","",'印刷・FAX　発注書'!E17)</f>
        <v/>
      </c>
      <c r="F18" s="121" t="str">
        <f>IF('印刷・FAX　発注書'!F17="","",'印刷・FAX　発注書'!F17)</f>
        <v>要冷</v>
      </c>
      <c r="G18" s="121">
        <f>IF('印刷・FAX　発注書'!G17="","",'印刷・FAX　発注書'!G17)</f>
        <v>7</v>
      </c>
      <c r="H18" s="132">
        <f>IF('印刷・FAX　発注書'!H17="","",'印刷・FAX　発注書'!H17)</f>
        <v>0</v>
      </c>
      <c r="I18" s="133">
        <f t="shared" si="0"/>
        <v>0</v>
      </c>
      <c r="J18" s="134">
        <v>1</v>
      </c>
      <c r="K18" s="134">
        <f t="shared" si="4"/>
        <v>0.72</v>
      </c>
      <c r="L18" s="135">
        <f>'印刷・FAX　発注書'!L17</f>
        <v>0.28000000000000003</v>
      </c>
      <c r="M18" s="132">
        <f>IF('印刷・FAX　発注書'!M17="","",'印刷・FAX　発注書'!M17)</f>
        <v>5</v>
      </c>
      <c r="N18" s="48"/>
      <c r="O18" s="142">
        <f t="shared" si="5"/>
        <v>0</v>
      </c>
      <c r="P18" s="48"/>
      <c r="Q18" s="142">
        <f t="shared" si="1"/>
        <v>0</v>
      </c>
      <c r="R18" s="48"/>
      <c r="S18" s="142">
        <f t="shared" si="6"/>
        <v>0</v>
      </c>
      <c r="T18" s="48"/>
      <c r="U18" s="142">
        <f t="shared" si="7"/>
        <v>0</v>
      </c>
      <c r="V18" s="48"/>
      <c r="W18" s="142">
        <f t="shared" si="8"/>
        <v>0</v>
      </c>
      <c r="X18" s="48"/>
      <c r="Y18" s="142">
        <f t="shared" si="9"/>
        <v>0</v>
      </c>
      <c r="Z18" s="48"/>
      <c r="AA18" s="142">
        <f t="shared" si="10"/>
        <v>0</v>
      </c>
      <c r="AC18" s="88">
        <f t="shared" si="2"/>
        <v>0</v>
      </c>
      <c r="AD18" s="60">
        <f t="shared" si="3"/>
        <v>0</v>
      </c>
      <c r="AE18" s="59"/>
    </row>
    <row r="19" spans="1:31" ht="13.5" customHeight="1">
      <c r="A19" s="11">
        <v>7</v>
      </c>
      <c r="B19" s="120" t="str">
        <f>IF('印刷・FAX　発注書'!B18="","",'印刷・FAX　発注書'!B18)</f>
        <v>じゃが芋</v>
      </c>
      <c r="C19" s="121" t="str">
        <f>IF('印刷・FAX　発注書'!C18="","",'印刷・FAX　発注書'!C18)</f>
        <v/>
      </c>
      <c r="D19" s="121" t="str">
        <f>IF('印刷・FAX　発注書'!D18="","",'印刷・FAX　発注書'!D18)</f>
        <v>M</v>
      </c>
      <c r="E19" s="121" t="str">
        <f>IF('印刷・FAX　発注書'!E18="","",'印刷・FAX　発注書'!E18)</f>
        <v>3個</v>
      </c>
      <c r="F19" s="121" t="str">
        <f>IF('印刷・FAX　発注書'!F18="","",'印刷・FAX　発注書'!F18)</f>
        <v>常温</v>
      </c>
      <c r="G19" s="121">
        <f>IF('印刷・FAX　発注書'!G18="","",'印刷・FAX　発注書'!G18)</f>
        <v>10</v>
      </c>
      <c r="H19" s="132">
        <f>IF('印刷・FAX　発注書'!H18="","",'印刷・FAX　発注書'!H18)</f>
        <v>128</v>
      </c>
      <c r="I19" s="133">
        <f t="shared" si="0"/>
        <v>93</v>
      </c>
      <c r="J19" s="134">
        <v>1</v>
      </c>
      <c r="K19" s="134">
        <f t="shared" si="4"/>
        <v>0.72</v>
      </c>
      <c r="L19" s="135">
        <f>'印刷・FAX　発注書'!L18</f>
        <v>0.28000000000000003</v>
      </c>
      <c r="M19" s="132">
        <f>IF('印刷・FAX　発注書'!M18="","",'印刷・FAX　発注書'!M18)</f>
        <v>3</v>
      </c>
      <c r="N19" s="48"/>
      <c r="O19" s="142">
        <f t="shared" si="5"/>
        <v>0</v>
      </c>
      <c r="P19" s="48"/>
      <c r="Q19" s="142">
        <f t="shared" si="1"/>
        <v>0</v>
      </c>
      <c r="R19" s="48"/>
      <c r="S19" s="142">
        <f t="shared" si="6"/>
        <v>0</v>
      </c>
      <c r="T19" s="48"/>
      <c r="U19" s="142">
        <f t="shared" si="7"/>
        <v>0</v>
      </c>
      <c r="V19" s="48"/>
      <c r="W19" s="142">
        <f t="shared" si="8"/>
        <v>0</v>
      </c>
      <c r="X19" s="48"/>
      <c r="Y19" s="142">
        <f t="shared" si="9"/>
        <v>0</v>
      </c>
      <c r="Z19" s="48"/>
      <c r="AA19" s="142">
        <f t="shared" si="10"/>
        <v>0</v>
      </c>
      <c r="AC19" s="88">
        <f t="shared" si="2"/>
        <v>0</v>
      </c>
      <c r="AD19" s="60">
        <f t="shared" si="3"/>
        <v>0</v>
      </c>
      <c r="AE19" s="59"/>
    </row>
    <row r="20" spans="1:31" ht="13.5" customHeight="1">
      <c r="A20" s="11">
        <v>8</v>
      </c>
      <c r="B20" s="120" t="str">
        <f>IF('印刷・FAX　発注書'!B19="","",'印刷・FAX　発注書'!B19)</f>
        <v>胡瓜</v>
      </c>
      <c r="C20" s="121" t="str">
        <f>IF('印刷・FAX　発注書'!C19="","",'印刷・FAX　発注書'!C19)</f>
        <v/>
      </c>
      <c r="D20" s="121" t="str">
        <f>IF('印刷・FAX　発注書'!D19="","",'印刷・FAX　発注書'!D19)</f>
        <v/>
      </c>
      <c r="E20" s="121" t="str">
        <f>IF('印刷・FAX　発注書'!E19="","",'印刷・FAX　発注書'!E19)</f>
        <v>パック</v>
      </c>
      <c r="F20" s="121" t="str">
        <f>IF('印刷・FAX　発注書'!F19="","",'印刷・FAX　発注書'!F19)</f>
        <v/>
      </c>
      <c r="G20" s="121">
        <f>IF('印刷・FAX　発注書'!G19="","",'印刷・FAX　発注書'!G19)</f>
        <v>5</v>
      </c>
      <c r="H20" s="132">
        <f>IF('印刷・FAX　発注書'!H19="","",'印刷・FAX　発注書'!H19)</f>
        <v>138</v>
      </c>
      <c r="I20" s="133">
        <f t="shared" si="0"/>
        <v>100</v>
      </c>
      <c r="J20" s="134">
        <v>1</v>
      </c>
      <c r="K20" s="134">
        <f t="shared" si="4"/>
        <v>0.72</v>
      </c>
      <c r="L20" s="135">
        <f>'印刷・FAX　発注書'!L19</f>
        <v>0.28000000000000003</v>
      </c>
      <c r="M20" s="132">
        <f>IF('印刷・FAX　発注書'!M19="","",'印刷・FAX　発注書'!M19)</f>
        <v>3</v>
      </c>
      <c r="N20" s="48"/>
      <c r="O20" s="142">
        <f t="shared" si="5"/>
        <v>0</v>
      </c>
      <c r="P20" s="48"/>
      <c r="Q20" s="142">
        <f t="shared" si="1"/>
        <v>0</v>
      </c>
      <c r="R20" s="48"/>
      <c r="S20" s="142">
        <f t="shared" si="6"/>
        <v>0</v>
      </c>
      <c r="T20" s="48"/>
      <c r="U20" s="142">
        <f t="shared" si="7"/>
        <v>0</v>
      </c>
      <c r="V20" s="48"/>
      <c r="W20" s="142">
        <f t="shared" si="8"/>
        <v>0</v>
      </c>
      <c r="X20" s="48"/>
      <c r="Y20" s="142">
        <f t="shared" si="9"/>
        <v>0</v>
      </c>
      <c r="Z20" s="48"/>
      <c r="AA20" s="142">
        <f t="shared" si="10"/>
        <v>0</v>
      </c>
      <c r="AC20" s="88">
        <f t="shared" si="2"/>
        <v>0</v>
      </c>
      <c r="AD20" s="60">
        <f t="shared" si="3"/>
        <v>0</v>
      </c>
      <c r="AE20" s="59"/>
    </row>
    <row r="21" spans="1:31" ht="13.5" customHeight="1">
      <c r="A21" s="11">
        <v>9</v>
      </c>
      <c r="B21" s="120" t="str">
        <f>IF('印刷・FAX　発注書'!B20="","",'印刷・FAX　発注書'!B20)</f>
        <v>トマト</v>
      </c>
      <c r="C21" s="121" t="str">
        <f>IF('印刷・FAX　発注書'!C20="","",'印刷・FAX　発注書'!C20)</f>
        <v/>
      </c>
      <c r="D21" s="121" t="str">
        <f>IF('印刷・FAX　発注書'!D20="","",'印刷・FAX　発注書'!D20)</f>
        <v/>
      </c>
      <c r="E21" s="121" t="str">
        <f>IF('印刷・FAX　発注書'!E20="","",'印刷・FAX　発注書'!E20)</f>
        <v>２個</v>
      </c>
      <c r="F21" s="121" t="str">
        <f>IF('印刷・FAX　発注書'!F20="","",'印刷・FAX　発注書'!F20)</f>
        <v/>
      </c>
      <c r="G21" s="121" t="str">
        <f>IF('印刷・FAX　発注書'!G20="","",'印刷・FAX　発注書'!G20)</f>
        <v/>
      </c>
      <c r="H21" s="132">
        <f>IF('印刷・FAX　発注書'!H20="","",'印刷・FAX　発注書'!H20)</f>
        <v>238</v>
      </c>
      <c r="I21" s="133">
        <f t="shared" si="0"/>
        <v>172</v>
      </c>
      <c r="J21" s="134">
        <v>1</v>
      </c>
      <c r="K21" s="134">
        <f t="shared" si="4"/>
        <v>0.72</v>
      </c>
      <c r="L21" s="135">
        <f>'印刷・FAX　発注書'!L20</f>
        <v>0.28000000000000003</v>
      </c>
      <c r="M21" s="132">
        <f>IF('印刷・FAX　発注書'!M20="","",'印刷・FAX　発注書'!M20)</f>
        <v>3</v>
      </c>
      <c r="N21" s="48"/>
      <c r="O21" s="142">
        <f t="shared" si="5"/>
        <v>0</v>
      </c>
      <c r="P21" s="48"/>
      <c r="Q21" s="142">
        <f t="shared" si="1"/>
        <v>0</v>
      </c>
      <c r="R21" s="48"/>
      <c r="S21" s="142">
        <f t="shared" si="6"/>
        <v>0</v>
      </c>
      <c r="T21" s="48"/>
      <c r="U21" s="142">
        <f t="shared" si="7"/>
        <v>0</v>
      </c>
      <c r="V21" s="48"/>
      <c r="W21" s="142">
        <f t="shared" si="8"/>
        <v>0</v>
      </c>
      <c r="X21" s="48"/>
      <c r="Y21" s="142">
        <f t="shared" si="9"/>
        <v>0</v>
      </c>
      <c r="Z21" s="48"/>
      <c r="AA21" s="142">
        <f t="shared" si="10"/>
        <v>0</v>
      </c>
      <c r="AC21" s="88">
        <f t="shared" si="2"/>
        <v>0</v>
      </c>
      <c r="AD21" s="60">
        <f t="shared" si="3"/>
        <v>0</v>
      </c>
      <c r="AE21" s="59"/>
    </row>
    <row r="22" spans="1:31" ht="13.5" customHeight="1">
      <c r="A22" s="11">
        <v>10</v>
      </c>
      <c r="B22" s="120" t="str">
        <f>IF('印刷・FAX　発注書'!B21="","",'印刷・FAX　発注書'!B21)</f>
        <v>レタス</v>
      </c>
      <c r="C22" s="121" t="str">
        <f>IF('印刷・FAX　発注書'!C21="","",'印刷・FAX　発注書'!C21)</f>
        <v/>
      </c>
      <c r="D22" s="121" t="str">
        <f>IF('印刷・FAX　発注書'!D21="","",'印刷・FAX　発注書'!D21)</f>
        <v>パック</v>
      </c>
      <c r="E22" s="121" t="str">
        <f>IF('印刷・FAX　発注書'!E21="","",'印刷・FAX　発注書'!E21)</f>
        <v/>
      </c>
      <c r="F22" s="121" t="str">
        <f>IF('印刷・FAX　発注書'!F21="","",'印刷・FAX　発注書'!F21)</f>
        <v/>
      </c>
      <c r="G22" s="121">
        <f>IF('印刷・FAX　発注書'!G21="","",'印刷・FAX　発注書'!G21)</f>
        <v>7</v>
      </c>
      <c r="H22" s="132">
        <f>IF('印刷・FAX　発注書'!H21="","",'印刷・FAX　発注書'!H21)</f>
        <v>258</v>
      </c>
      <c r="I22" s="133">
        <f t="shared" si="0"/>
        <v>186</v>
      </c>
      <c r="J22" s="134">
        <v>1</v>
      </c>
      <c r="K22" s="134">
        <f t="shared" si="4"/>
        <v>0.72</v>
      </c>
      <c r="L22" s="135">
        <f>'印刷・FAX　発注書'!L21</f>
        <v>0.28000000000000003</v>
      </c>
      <c r="M22" s="132">
        <f>IF('印刷・FAX　発注書'!M21="","",'印刷・FAX　発注書'!M21)</f>
        <v>3</v>
      </c>
      <c r="N22" s="48"/>
      <c r="O22" s="142">
        <f t="shared" si="5"/>
        <v>0</v>
      </c>
      <c r="P22" s="48"/>
      <c r="Q22" s="142">
        <f t="shared" si="1"/>
        <v>0</v>
      </c>
      <c r="R22" s="48"/>
      <c r="S22" s="142">
        <f t="shared" si="6"/>
        <v>0</v>
      </c>
      <c r="T22" s="48"/>
      <c r="U22" s="142">
        <f t="shared" si="7"/>
        <v>0</v>
      </c>
      <c r="V22" s="48"/>
      <c r="W22" s="142">
        <f t="shared" si="8"/>
        <v>0</v>
      </c>
      <c r="X22" s="48"/>
      <c r="Y22" s="142">
        <f t="shared" si="9"/>
        <v>0</v>
      </c>
      <c r="Z22" s="48"/>
      <c r="AA22" s="142">
        <f t="shared" si="10"/>
        <v>0</v>
      </c>
      <c r="AC22" s="88">
        <f t="shared" si="2"/>
        <v>0</v>
      </c>
      <c r="AD22" s="60">
        <f t="shared" si="3"/>
        <v>0</v>
      </c>
      <c r="AE22" s="59"/>
    </row>
    <row r="23" spans="1:31" ht="13.5" customHeight="1">
      <c r="A23" s="11">
        <v>11</v>
      </c>
      <c r="B23" s="120" t="str">
        <f>IF('印刷・FAX　発注書'!B22="","",'印刷・FAX　発注書'!B22)</f>
        <v>ミニトマト</v>
      </c>
      <c r="C23" s="121" t="str">
        <f>IF('印刷・FAX　発注書'!C22="","",'印刷・FAX　発注書'!C22)</f>
        <v/>
      </c>
      <c r="D23" s="121" t="str">
        <f>IF('印刷・FAX　発注書'!D22="","",'印刷・FAX　発注書'!D22)</f>
        <v>パック</v>
      </c>
      <c r="E23" s="121" t="str">
        <f>IF('印刷・FAX　発注書'!E22="","",'印刷・FAX　発注書'!E22)</f>
        <v/>
      </c>
      <c r="F23" s="121" t="str">
        <f>IF('印刷・FAX　発注書'!F22="","",'印刷・FAX　発注書'!F22)</f>
        <v/>
      </c>
      <c r="G23" s="121">
        <f>IF('印刷・FAX　発注書'!G22="","",'印刷・FAX　発注書'!G22)</f>
        <v>5</v>
      </c>
      <c r="H23" s="132">
        <f>IF('印刷・FAX　発注書'!H22="","",'印刷・FAX　発注書'!H22)</f>
        <v>378</v>
      </c>
      <c r="I23" s="133">
        <f t="shared" si="0"/>
        <v>273</v>
      </c>
      <c r="J23" s="134">
        <v>1</v>
      </c>
      <c r="K23" s="134">
        <f t="shared" si="4"/>
        <v>0.72</v>
      </c>
      <c r="L23" s="135">
        <f>'印刷・FAX　発注書'!L22</f>
        <v>0.28000000000000003</v>
      </c>
      <c r="M23" s="132">
        <f>IF('印刷・FAX　発注書'!M22="","",'印刷・FAX　発注書'!M22)</f>
        <v>3</v>
      </c>
      <c r="N23" s="48"/>
      <c r="O23" s="142">
        <f t="shared" si="5"/>
        <v>0</v>
      </c>
      <c r="P23" s="48"/>
      <c r="Q23" s="142">
        <f t="shared" si="1"/>
        <v>0</v>
      </c>
      <c r="R23" s="48"/>
      <c r="S23" s="142">
        <f t="shared" si="6"/>
        <v>0</v>
      </c>
      <c r="T23" s="48"/>
      <c r="U23" s="142">
        <f t="shared" si="7"/>
        <v>0</v>
      </c>
      <c r="V23" s="48"/>
      <c r="W23" s="142">
        <f t="shared" si="8"/>
        <v>0</v>
      </c>
      <c r="X23" s="48"/>
      <c r="Y23" s="142">
        <f t="shared" si="9"/>
        <v>0</v>
      </c>
      <c r="Z23" s="48"/>
      <c r="AA23" s="142">
        <f t="shared" si="10"/>
        <v>0</v>
      </c>
      <c r="AC23" s="88">
        <f t="shared" si="2"/>
        <v>0</v>
      </c>
      <c r="AD23" s="60">
        <f t="shared" si="3"/>
        <v>0</v>
      </c>
      <c r="AE23" s="59"/>
    </row>
    <row r="24" spans="1:31" ht="12" customHeight="1">
      <c r="A24" s="11">
        <v>12</v>
      </c>
      <c r="B24" s="120" t="str">
        <f>IF('印刷・FAX　発注書'!B23="","",'印刷・FAX　発注書'!B23)</f>
        <v>ネギ(１本）</v>
      </c>
      <c r="C24" s="121" t="str">
        <f>IF('印刷・FAX　発注書'!C23="","",'印刷・FAX　発注書'!C23)</f>
        <v/>
      </c>
      <c r="D24" s="121" t="str">
        <f>IF('印刷・FAX　発注書'!D23="","",'印刷・FAX　発注書'!D23)</f>
        <v/>
      </c>
      <c r="E24" s="121" t="str">
        <f>IF('印刷・FAX　発注書'!E23="","",'印刷・FAX　発注書'!E23)</f>
        <v>本</v>
      </c>
      <c r="F24" s="121" t="str">
        <f>IF('印刷・FAX　発注書'!F23="","",'印刷・FAX　発注書'!F23)</f>
        <v>要冷</v>
      </c>
      <c r="G24" s="121">
        <f>IF('印刷・FAX　発注書'!G23="","",'印刷・FAX　発注書'!G23)</f>
        <v>7</v>
      </c>
      <c r="H24" s="132">
        <f>IF('印刷・FAX　発注書'!H23="","",'印刷・FAX　発注書'!H23)</f>
        <v>108</v>
      </c>
      <c r="I24" s="133">
        <f t="shared" si="0"/>
        <v>78</v>
      </c>
      <c r="J24" s="134">
        <v>1</v>
      </c>
      <c r="K24" s="134">
        <f t="shared" si="4"/>
        <v>0.72</v>
      </c>
      <c r="L24" s="135">
        <f>'印刷・FAX　発注書'!L23</f>
        <v>0.28000000000000003</v>
      </c>
      <c r="M24" s="132">
        <f>IF('印刷・FAX　発注書'!M23="","",'印刷・FAX　発注書'!M23)</f>
        <v>3</v>
      </c>
      <c r="N24" s="48"/>
      <c r="O24" s="142">
        <f t="shared" si="5"/>
        <v>0</v>
      </c>
      <c r="P24" s="48">
        <v>1</v>
      </c>
      <c r="Q24" s="142">
        <f t="shared" si="1"/>
        <v>3</v>
      </c>
      <c r="R24" s="48"/>
      <c r="S24" s="142">
        <f t="shared" si="6"/>
        <v>0</v>
      </c>
      <c r="T24" s="48"/>
      <c r="U24" s="142">
        <f t="shared" si="7"/>
        <v>0</v>
      </c>
      <c r="V24" s="48"/>
      <c r="W24" s="142">
        <f t="shared" si="8"/>
        <v>0</v>
      </c>
      <c r="X24" s="48"/>
      <c r="Y24" s="142">
        <f t="shared" si="9"/>
        <v>0</v>
      </c>
      <c r="Z24" s="48"/>
      <c r="AA24" s="142">
        <f t="shared" si="10"/>
        <v>0</v>
      </c>
      <c r="AC24" s="88">
        <f t="shared" si="2"/>
        <v>3</v>
      </c>
      <c r="AD24" s="60">
        <f t="shared" si="3"/>
        <v>234</v>
      </c>
      <c r="AE24" s="59"/>
    </row>
    <row r="25" spans="1:31" ht="13.5" customHeight="1">
      <c r="A25" s="11">
        <v>13</v>
      </c>
      <c r="B25" s="120" t="str">
        <f>IF('印刷・FAX　発注書'!B24="","",'印刷・FAX　発注書'!B24)</f>
        <v>ピーマン</v>
      </c>
      <c r="C25" s="121" t="str">
        <f>IF('印刷・FAX　発注書'!C24="","",'印刷・FAX　発注書'!C24)</f>
        <v/>
      </c>
      <c r="D25" s="121" t="str">
        <f>IF('印刷・FAX　発注書'!D24="","",'印刷・FAX　発注書'!D24)</f>
        <v/>
      </c>
      <c r="E25" s="121" t="str">
        <f>IF('印刷・FAX　発注書'!E24="","",'印刷・FAX　発注書'!E24)</f>
        <v>パック</v>
      </c>
      <c r="F25" s="121" t="str">
        <f>IF('印刷・FAX　発注書'!F24="","",'印刷・FAX　発注書'!F24)</f>
        <v/>
      </c>
      <c r="G25" s="121">
        <f>IF('印刷・FAX　発注書'!G24="","",'印刷・FAX　発注書'!G24)</f>
        <v>5</v>
      </c>
      <c r="H25" s="132">
        <f>IF('印刷・FAX　発注書'!H24="","",'印刷・FAX　発注書'!H24)</f>
        <v>198</v>
      </c>
      <c r="I25" s="133">
        <f t="shared" si="0"/>
        <v>143</v>
      </c>
      <c r="J25" s="134">
        <v>1</v>
      </c>
      <c r="K25" s="134">
        <f t="shared" si="4"/>
        <v>0.72</v>
      </c>
      <c r="L25" s="135">
        <f>'印刷・FAX　発注書'!L24</f>
        <v>0.28000000000000003</v>
      </c>
      <c r="M25" s="132">
        <f>IF('印刷・FAX　発注書'!M24="","",'印刷・FAX　発注書'!M24)</f>
        <v>3</v>
      </c>
      <c r="N25" s="48"/>
      <c r="O25" s="142">
        <f t="shared" si="5"/>
        <v>0</v>
      </c>
      <c r="P25" s="48"/>
      <c r="Q25" s="142">
        <f t="shared" si="1"/>
        <v>0</v>
      </c>
      <c r="R25" s="48"/>
      <c r="S25" s="142">
        <f t="shared" si="6"/>
        <v>0</v>
      </c>
      <c r="T25" s="48"/>
      <c r="U25" s="142">
        <f t="shared" si="7"/>
        <v>0</v>
      </c>
      <c r="V25" s="48"/>
      <c r="W25" s="142">
        <f t="shared" si="8"/>
        <v>0</v>
      </c>
      <c r="X25" s="48"/>
      <c r="Y25" s="142">
        <f t="shared" si="9"/>
        <v>0</v>
      </c>
      <c r="Z25" s="48"/>
      <c r="AA25" s="142">
        <f t="shared" si="10"/>
        <v>0</v>
      </c>
      <c r="AC25" s="88">
        <f t="shared" si="2"/>
        <v>0</v>
      </c>
      <c r="AD25" s="60">
        <f t="shared" si="3"/>
        <v>0</v>
      </c>
      <c r="AE25" s="59"/>
    </row>
    <row r="26" spans="1:31" ht="13.5" customHeight="1">
      <c r="A26" s="11">
        <v>14</v>
      </c>
      <c r="B26" s="120" t="str">
        <f>IF('印刷・FAX　発注書'!B25="","",'印刷・FAX　発注書'!B25)</f>
        <v>キャベツ</v>
      </c>
      <c r="C26" s="121" t="str">
        <f>IF('印刷・FAX　発注書'!C25="","",'印刷・FAX　発注書'!C25)</f>
        <v/>
      </c>
      <c r="D26" s="121" t="str">
        <f>IF('印刷・FAX　発注書'!D25="","",'印刷・FAX　発注書'!D25)</f>
        <v/>
      </c>
      <c r="E26" s="121" t="str">
        <f>IF('印刷・FAX　発注書'!E25="","",'印刷・FAX　発注書'!E25)</f>
        <v>1/2カット</v>
      </c>
      <c r="F26" s="121" t="str">
        <f>IF('印刷・FAX　発注書'!F25="","",'印刷・FAX　発注書'!F25)</f>
        <v>要冷</v>
      </c>
      <c r="G26" s="121">
        <f>IF('印刷・FAX　発注書'!G25="","",'印刷・FAX　発注書'!G25)</f>
        <v>5</v>
      </c>
      <c r="H26" s="132">
        <f>IF('印刷・FAX　発注書'!H25="","",'印刷・FAX　発注書'!H25)</f>
        <v>138</v>
      </c>
      <c r="I26" s="133">
        <f t="shared" si="0"/>
        <v>100</v>
      </c>
      <c r="J26" s="134">
        <v>1</v>
      </c>
      <c r="K26" s="134">
        <f t="shared" si="4"/>
        <v>0.72</v>
      </c>
      <c r="L26" s="135">
        <f>'印刷・FAX　発注書'!L25</f>
        <v>0.28000000000000003</v>
      </c>
      <c r="M26" s="132">
        <f>IF('印刷・FAX　発注書'!M25="","",'印刷・FAX　発注書'!M25)</f>
        <v>2</v>
      </c>
      <c r="N26" s="48"/>
      <c r="O26" s="142">
        <f t="shared" si="5"/>
        <v>0</v>
      </c>
      <c r="P26" s="48">
        <v>1</v>
      </c>
      <c r="Q26" s="142">
        <f t="shared" si="1"/>
        <v>2</v>
      </c>
      <c r="R26" s="48"/>
      <c r="S26" s="142">
        <f t="shared" si="6"/>
        <v>0</v>
      </c>
      <c r="T26" s="48"/>
      <c r="U26" s="142">
        <f t="shared" si="7"/>
        <v>0</v>
      </c>
      <c r="V26" s="48"/>
      <c r="W26" s="142">
        <f t="shared" si="8"/>
        <v>0</v>
      </c>
      <c r="X26" s="48"/>
      <c r="Y26" s="142">
        <f t="shared" si="9"/>
        <v>0</v>
      </c>
      <c r="Z26" s="48"/>
      <c r="AA26" s="142">
        <f t="shared" si="10"/>
        <v>0</v>
      </c>
      <c r="AC26" s="88">
        <f t="shared" si="2"/>
        <v>2</v>
      </c>
      <c r="AD26" s="60">
        <f t="shared" si="3"/>
        <v>200</v>
      </c>
      <c r="AE26" s="59"/>
    </row>
    <row r="27" spans="1:31" ht="13.5" customHeight="1">
      <c r="A27" s="11">
        <v>15</v>
      </c>
      <c r="B27" s="120" t="str">
        <f>IF('印刷・FAX　発注書'!B26="","",'印刷・FAX　発注書'!B26)</f>
        <v>キャベツ</v>
      </c>
      <c r="C27" s="121" t="str">
        <f>IF('印刷・FAX　発注書'!C26="","",'印刷・FAX　発注書'!C26)</f>
        <v/>
      </c>
      <c r="D27" s="121" t="str">
        <f>IF('印刷・FAX　発注書'!D26="","",'印刷・FAX　発注書'!D26)</f>
        <v/>
      </c>
      <c r="E27" s="121" t="str">
        <f>IF('印刷・FAX　発注書'!E26="","",'印刷・FAX　発注書'!E26)</f>
        <v>1個</v>
      </c>
      <c r="F27" s="121" t="str">
        <f>IF('印刷・FAX　発注書'!F26="","",'印刷・FAX　発注書'!F26)</f>
        <v>要冷</v>
      </c>
      <c r="G27" s="121">
        <f>IF('印刷・FAX　発注書'!G26="","",'印刷・FAX　発注書'!G26)</f>
        <v>4</v>
      </c>
      <c r="H27" s="132">
        <f>IF('印刷・FAX　発注書'!H26="","",'印刷・FAX　発注書'!H26)</f>
        <v>358</v>
      </c>
      <c r="I27" s="133">
        <f t="shared" si="0"/>
        <v>258</v>
      </c>
      <c r="J27" s="134">
        <v>1</v>
      </c>
      <c r="K27" s="134">
        <f t="shared" si="4"/>
        <v>0.72</v>
      </c>
      <c r="L27" s="135">
        <f>'印刷・FAX　発注書'!L26</f>
        <v>0.28000000000000003</v>
      </c>
      <c r="M27" s="132">
        <f>IF('印刷・FAX　発注書'!M26="","",'印刷・FAX　発注書'!M26)</f>
        <v>3</v>
      </c>
      <c r="N27" s="48"/>
      <c r="O27" s="142">
        <f t="shared" si="5"/>
        <v>0</v>
      </c>
      <c r="P27" s="48"/>
      <c r="Q27" s="142">
        <f t="shared" si="1"/>
        <v>0</v>
      </c>
      <c r="R27" s="48"/>
      <c r="S27" s="142">
        <f t="shared" si="6"/>
        <v>0</v>
      </c>
      <c r="T27" s="48"/>
      <c r="U27" s="142">
        <f t="shared" si="7"/>
        <v>0</v>
      </c>
      <c r="V27" s="48"/>
      <c r="W27" s="142">
        <f t="shared" si="8"/>
        <v>0</v>
      </c>
      <c r="X27" s="48"/>
      <c r="Y27" s="142">
        <f t="shared" si="9"/>
        <v>0</v>
      </c>
      <c r="Z27" s="48"/>
      <c r="AA27" s="142">
        <f t="shared" si="10"/>
        <v>0</v>
      </c>
      <c r="AC27" s="88">
        <f t="shared" si="2"/>
        <v>0</v>
      </c>
      <c r="AD27" s="60">
        <f t="shared" si="3"/>
        <v>0</v>
      </c>
      <c r="AE27" s="59"/>
    </row>
    <row r="28" spans="1:31" ht="13.5" customHeight="1">
      <c r="A28" s="11">
        <v>16</v>
      </c>
      <c r="B28" s="120" t="str">
        <f>IF('印刷・FAX　発注書'!B27="","",'印刷・FAX　発注書'!B27)</f>
        <v>白菜1/2</v>
      </c>
      <c r="C28" s="121" t="str">
        <f>IF('印刷・FAX　発注書'!C27="","",'印刷・FAX　発注書'!C27)</f>
        <v/>
      </c>
      <c r="D28" s="121" t="str">
        <f>IF('印刷・FAX　発注書'!D27="","",'印刷・FAX　発注書'!D27)</f>
        <v/>
      </c>
      <c r="E28" s="121" t="str">
        <f>IF('印刷・FAX　発注書'!E27="","",'印刷・FAX　発注書'!E27)</f>
        <v/>
      </c>
      <c r="F28" s="121" t="str">
        <f>IF('印刷・FAX　発注書'!F27="","",'印刷・FAX　発注書'!F27)</f>
        <v>要冷</v>
      </c>
      <c r="G28" s="121">
        <f>IF('印刷・FAX　発注書'!G27="","",'印刷・FAX　発注書'!G27)</f>
        <v>3</v>
      </c>
      <c r="H28" s="132">
        <f>IF('印刷・FAX　発注書'!H27="","",'印刷・FAX　発注書'!H27)</f>
        <v>108</v>
      </c>
      <c r="I28" s="133">
        <f t="shared" si="0"/>
        <v>78</v>
      </c>
      <c r="J28" s="134">
        <v>1</v>
      </c>
      <c r="K28" s="134">
        <f t="shared" si="4"/>
        <v>0.72</v>
      </c>
      <c r="L28" s="135">
        <f>'印刷・FAX　発注書'!L27</f>
        <v>0.28000000000000003</v>
      </c>
      <c r="M28" s="132">
        <f>IF('印刷・FAX　発注書'!M27="","",'印刷・FAX　発注書'!M27)</f>
        <v>2</v>
      </c>
      <c r="N28" s="48"/>
      <c r="O28" s="142">
        <f t="shared" si="5"/>
        <v>0</v>
      </c>
      <c r="P28" s="48"/>
      <c r="Q28" s="142">
        <f t="shared" si="1"/>
        <v>0</v>
      </c>
      <c r="R28" s="48"/>
      <c r="S28" s="142">
        <f t="shared" si="6"/>
        <v>0</v>
      </c>
      <c r="T28" s="48"/>
      <c r="U28" s="142">
        <f t="shared" si="7"/>
        <v>0</v>
      </c>
      <c r="V28" s="48"/>
      <c r="W28" s="142">
        <f t="shared" si="8"/>
        <v>0</v>
      </c>
      <c r="X28" s="48"/>
      <c r="Y28" s="142">
        <f t="shared" si="9"/>
        <v>0</v>
      </c>
      <c r="Z28" s="48"/>
      <c r="AA28" s="142">
        <f t="shared" si="10"/>
        <v>0</v>
      </c>
      <c r="AC28" s="88">
        <f t="shared" si="2"/>
        <v>0</v>
      </c>
      <c r="AD28" s="60">
        <f t="shared" si="3"/>
        <v>0</v>
      </c>
      <c r="AE28" s="59"/>
    </row>
    <row r="29" spans="1:31" ht="13.5" customHeight="1">
      <c r="A29" s="11">
        <v>17</v>
      </c>
      <c r="B29" s="120" t="str">
        <f>IF('印刷・FAX　発注書'!B28="","",'印刷・FAX　発注書'!B28)</f>
        <v>小松菜</v>
      </c>
      <c r="C29" s="121" t="e">
        <f>IF('印刷・FAX　発注書'!#REF!="","",'印刷・FAX　発注書'!#REF!)</f>
        <v>#REF!</v>
      </c>
      <c r="D29" s="121" t="e">
        <f>IF('印刷・FAX　発注書'!#REF!="","",'印刷・FAX　発注書'!#REF!)</f>
        <v>#REF!</v>
      </c>
      <c r="E29" s="121" t="str">
        <f>IF('印刷・FAX　発注書'!E28="","",'印刷・FAX　発注書'!E28)</f>
        <v>袋</v>
      </c>
      <c r="F29" s="121" t="str">
        <f>IF('印刷・FAX　発注書'!F28="","",'印刷・FAX　発注書'!F28)</f>
        <v>要冷</v>
      </c>
      <c r="G29" s="121">
        <f>IF('印刷・FAX　発注書'!G28="","",'印刷・FAX　発注書'!G28)</f>
        <v>5</v>
      </c>
      <c r="H29" s="132">
        <f>IF('印刷・FAX　発注書'!H28="","",'印刷・FAX　発注書'!H28)</f>
        <v>168</v>
      </c>
      <c r="I29" s="133">
        <f t="shared" si="0"/>
        <v>121</v>
      </c>
      <c r="J29" s="134">
        <v>1</v>
      </c>
      <c r="K29" s="134">
        <f t="shared" si="4"/>
        <v>0.72</v>
      </c>
      <c r="L29" s="135">
        <f>'印刷・FAX　発注書'!L28</f>
        <v>0.28000000000000003</v>
      </c>
      <c r="M29" s="132">
        <f>IF('印刷・FAX　発注書'!M28="","",'印刷・FAX　発注書'!M28)</f>
        <v>3</v>
      </c>
      <c r="N29" s="48"/>
      <c r="O29" s="142">
        <f t="shared" si="5"/>
        <v>0</v>
      </c>
      <c r="P29" s="48"/>
      <c r="Q29" s="142">
        <f t="shared" si="1"/>
        <v>0</v>
      </c>
      <c r="R29" s="48"/>
      <c r="S29" s="142">
        <f t="shared" si="6"/>
        <v>0</v>
      </c>
      <c r="T29" s="48"/>
      <c r="U29" s="142">
        <f t="shared" si="7"/>
        <v>0</v>
      </c>
      <c r="V29" s="48"/>
      <c r="W29" s="142">
        <f t="shared" si="8"/>
        <v>0</v>
      </c>
      <c r="X29" s="48"/>
      <c r="Y29" s="142">
        <f t="shared" si="9"/>
        <v>0</v>
      </c>
      <c r="Z29" s="48"/>
      <c r="AA29" s="142">
        <f t="shared" si="10"/>
        <v>0</v>
      </c>
      <c r="AC29" s="88">
        <f t="shared" si="2"/>
        <v>0</v>
      </c>
      <c r="AD29" s="60">
        <f t="shared" si="3"/>
        <v>0</v>
      </c>
    </row>
    <row r="30" spans="1:31" ht="13.5" customHeight="1">
      <c r="A30" s="11">
        <v>18</v>
      </c>
      <c r="B30" s="120" t="str">
        <f>IF('印刷・FAX　発注書'!B29="","",'印刷・FAX　発注書'!B29)</f>
        <v>大根1/2</v>
      </c>
      <c r="C30" s="121" t="str">
        <f>IF('印刷・FAX　発注書'!C28="","",'印刷・FAX　発注書'!C28)</f>
        <v/>
      </c>
      <c r="D30" s="121" t="str">
        <f>IF('印刷・FAX　発注書'!D28="","",'印刷・FAX　発注書'!D28)</f>
        <v/>
      </c>
      <c r="E30" s="121" t="str">
        <f>IF('印刷・FAX　発注書'!E29="","",'印刷・FAX　発注書'!E29)</f>
        <v>本</v>
      </c>
      <c r="F30" s="121" t="str">
        <f>IF('印刷・FAX　発注書'!F29="","",'印刷・FAX　発注書'!F29)</f>
        <v>要冷</v>
      </c>
      <c r="G30" s="121">
        <f>IF('印刷・FAX　発注書'!G29="","",'印刷・FAX　発注書'!G29)</f>
        <v>5</v>
      </c>
      <c r="H30" s="132">
        <f>IF('印刷・FAX　発注書'!H29="","",'印刷・FAX　発注書'!H29)</f>
        <v>148</v>
      </c>
      <c r="I30" s="133">
        <f t="shared" si="0"/>
        <v>107</v>
      </c>
      <c r="J30" s="134">
        <v>1</v>
      </c>
      <c r="K30" s="134">
        <f t="shared" si="4"/>
        <v>0.72</v>
      </c>
      <c r="L30" s="135">
        <f>'印刷・FAX　発注書'!L29</f>
        <v>0.28000000000000003</v>
      </c>
      <c r="M30" s="132">
        <f>IF('印刷・FAX　発注書'!M29="","",'印刷・FAX　発注書'!M29)</f>
        <v>3</v>
      </c>
      <c r="N30" s="48"/>
      <c r="O30" s="142">
        <f t="shared" si="5"/>
        <v>0</v>
      </c>
      <c r="P30" s="48"/>
      <c r="Q30" s="142">
        <f t="shared" si="1"/>
        <v>0</v>
      </c>
      <c r="R30" s="48"/>
      <c r="S30" s="142">
        <f t="shared" si="6"/>
        <v>0</v>
      </c>
      <c r="T30" s="48"/>
      <c r="U30" s="142">
        <f t="shared" si="7"/>
        <v>0</v>
      </c>
      <c r="V30" s="48"/>
      <c r="W30" s="142">
        <f t="shared" si="8"/>
        <v>0</v>
      </c>
      <c r="X30" s="48"/>
      <c r="Y30" s="142">
        <f t="shared" si="9"/>
        <v>0</v>
      </c>
      <c r="Z30" s="48"/>
      <c r="AA30" s="142">
        <f t="shared" si="10"/>
        <v>0</v>
      </c>
      <c r="AC30" s="88">
        <f t="shared" si="2"/>
        <v>0</v>
      </c>
      <c r="AD30" s="60">
        <f t="shared" si="3"/>
        <v>0</v>
      </c>
    </row>
    <row r="31" spans="1:31" ht="13.5" customHeight="1">
      <c r="A31" s="11">
        <v>19</v>
      </c>
      <c r="B31" s="120" t="str">
        <f>IF('印刷・FAX　発注書'!B30="","",'印刷・FAX　発注書'!B30)</f>
        <v>ほうれん草</v>
      </c>
      <c r="C31" s="121" t="str">
        <f>IF('印刷・FAX　発注書'!C29="","",'印刷・FAX　発注書'!C29)</f>
        <v/>
      </c>
      <c r="D31" s="121" t="str">
        <f>IF('印刷・FAX　発注書'!D29="","",'印刷・FAX　発注書'!D29)</f>
        <v/>
      </c>
      <c r="E31" s="121" t="str">
        <f>IF('印刷・FAX　発注書'!E30="","",'印刷・FAX　発注書'!E30)</f>
        <v>袋</v>
      </c>
      <c r="F31" s="121" t="str">
        <f>IF('印刷・FAX　発注書'!F30="","",'印刷・FAX　発注書'!F30)</f>
        <v>要冷</v>
      </c>
      <c r="G31" s="121">
        <f>IF('印刷・FAX　発注書'!G30="","",'印刷・FAX　発注書'!G30)</f>
        <v>5</v>
      </c>
      <c r="H31" s="132">
        <f>IF('印刷・FAX　発注書'!H30="","",'印刷・FAX　発注書'!H30)</f>
        <v>238</v>
      </c>
      <c r="I31" s="133">
        <f t="shared" si="0"/>
        <v>172</v>
      </c>
      <c r="J31" s="134">
        <v>1</v>
      </c>
      <c r="K31" s="134">
        <f t="shared" si="4"/>
        <v>0.72</v>
      </c>
      <c r="L31" s="135">
        <f>'印刷・FAX　発注書'!L30</f>
        <v>0.28000000000000003</v>
      </c>
      <c r="M31" s="132">
        <f>IF('印刷・FAX　発注書'!M30="","",'印刷・FAX　発注書'!M30)</f>
        <v>2</v>
      </c>
      <c r="N31" s="48"/>
      <c r="O31" s="142">
        <f t="shared" si="5"/>
        <v>0</v>
      </c>
      <c r="P31" s="48"/>
      <c r="Q31" s="142">
        <f t="shared" si="1"/>
        <v>0</v>
      </c>
      <c r="R31" s="48"/>
      <c r="S31" s="142">
        <f t="shared" si="6"/>
        <v>0</v>
      </c>
      <c r="T31" s="48"/>
      <c r="U31" s="142">
        <f t="shared" si="7"/>
        <v>0</v>
      </c>
      <c r="V31" s="48"/>
      <c r="W31" s="142">
        <f t="shared" si="8"/>
        <v>0</v>
      </c>
      <c r="X31" s="48"/>
      <c r="Y31" s="142">
        <f t="shared" si="9"/>
        <v>0</v>
      </c>
      <c r="Z31" s="48"/>
      <c r="AA31" s="142">
        <f t="shared" si="10"/>
        <v>0</v>
      </c>
      <c r="AC31" s="88">
        <f t="shared" si="2"/>
        <v>0</v>
      </c>
      <c r="AD31" s="60">
        <f t="shared" si="3"/>
        <v>0</v>
      </c>
    </row>
    <row r="32" spans="1:31" ht="13.5" customHeight="1">
      <c r="A32" s="11">
        <v>20</v>
      </c>
      <c r="B32" s="120" t="str">
        <f>IF('印刷・FAX　発注書'!B31="","",'印刷・FAX　発注書'!B31)</f>
        <v>茄子</v>
      </c>
      <c r="C32" s="121" t="str">
        <f>IF('印刷・FAX　発注書'!C30="","",'印刷・FAX　発注書'!C30)</f>
        <v>宮城</v>
      </c>
      <c r="D32" s="121" t="str">
        <f>IF('印刷・FAX　発注書'!D30="","",'印刷・FAX　発注書'!D30)</f>
        <v/>
      </c>
      <c r="E32" s="121" t="str">
        <f>IF('印刷・FAX　発注書'!E31="","",'印刷・FAX　発注書'!E31)</f>
        <v>パック</v>
      </c>
      <c r="F32" s="121" t="str">
        <f>IF('印刷・FAX　発注書'!F31="","",'印刷・FAX　発注書'!F31)</f>
        <v/>
      </c>
      <c r="G32" s="121">
        <f>IF('印刷・FAX　発注書'!G31="","",'印刷・FAX　発注書'!G31)</f>
        <v>5</v>
      </c>
      <c r="H32" s="132">
        <f>IF('印刷・FAX　発注書'!H31="","",'印刷・FAX　発注書'!H31)</f>
        <v>178</v>
      </c>
      <c r="I32" s="133">
        <f t="shared" si="0"/>
        <v>129</v>
      </c>
      <c r="J32" s="134">
        <v>1</v>
      </c>
      <c r="K32" s="134">
        <f t="shared" si="4"/>
        <v>0.72</v>
      </c>
      <c r="L32" s="135">
        <f>'印刷・FAX　発注書'!L31</f>
        <v>0.28000000000000003</v>
      </c>
      <c r="M32" s="132">
        <f>IF('印刷・FAX　発注書'!M31="","",'印刷・FAX　発注書'!M31)</f>
        <v>3</v>
      </c>
      <c r="N32" s="48"/>
      <c r="O32" s="142">
        <f t="shared" si="5"/>
        <v>0</v>
      </c>
      <c r="P32" s="48"/>
      <c r="Q32" s="142">
        <f t="shared" si="1"/>
        <v>0</v>
      </c>
      <c r="R32" s="48"/>
      <c r="S32" s="142">
        <f t="shared" si="6"/>
        <v>0</v>
      </c>
      <c r="T32" s="48"/>
      <c r="U32" s="142">
        <f t="shared" si="7"/>
        <v>0</v>
      </c>
      <c r="V32" s="48"/>
      <c r="W32" s="142">
        <f t="shared" si="8"/>
        <v>0</v>
      </c>
      <c r="X32" s="48"/>
      <c r="Y32" s="142">
        <f t="shared" si="9"/>
        <v>0</v>
      </c>
      <c r="Z32" s="48"/>
      <c r="AA32" s="142">
        <f t="shared" si="10"/>
        <v>0</v>
      </c>
      <c r="AC32" s="88">
        <f t="shared" si="2"/>
        <v>0</v>
      </c>
      <c r="AD32" s="60">
        <f t="shared" si="3"/>
        <v>0</v>
      </c>
    </row>
    <row r="33" spans="1:30" ht="13.5" customHeight="1">
      <c r="A33" s="11">
        <v>21</v>
      </c>
      <c r="B33" s="120" t="str">
        <f>IF('印刷・FAX　発注書'!B32="","",'印刷・FAX　発注書'!B32)</f>
        <v>国産生姜</v>
      </c>
      <c r="C33" s="121" t="e">
        <f>IF('印刷・FAX　発注書'!#REF!="","",'印刷・FAX　発注書'!#REF!)</f>
        <v>#REF!</v>
      </c>
      <c r="D33" s="121" t="e">
        <f>IF('印刷・FAX　発注書'!#REF!="","",'印刷・FAX　発注書'!#REF!)</f>
        <v>#REF!</v>
      </c>
      <c r="E33" s="121" t="str">
        <f>IF('印刷・FAX　発注書'!E32="","",'印刷・FAX　発注書'!E32)</f>
        <v>パック</v>
      </c>
      <c r="F33" s="121" t="str">
        <f>IF('印刷・FAX　発注書'!F32="","",'印刷・FAX　発注書'!F32)</f>
        <v>要冷</v>
      </c>
      <c r="G33" s="121">
        <f>IF('印刷・FAX　発注書'!G32="","",'印刷・FAX　発注書'!G32)</f>
        <v>7</v>
      </c>
      <c r="H33" s="132">
        <f>IF('印刷・FAX　発注書'!H32="","",'印刷・FAX　発注書'!H32)</f>
        <v>248</v>
      </c>
      <c r="I33" s="133">
        <f t="shared" si="0"/>
        <v>179</v>
      </c>
      <c r="J33" s="134">
        <v>1</v>
      </c>
      <c r="K33" s="134">
        <f t="shared" si="4"/>
        <v>0.72</v>
      </c>
      <c r="L33" s="135">
        <f>'印刷・FAX　発注書'!L32</f>
        <v>0.28000000000000003</v>
      </c>
      <c r="M33" s="132">
        <f>IF('印刷・FAX　発注書'!M32="","",'印刷・FAX　発注書'!M32)</f>
        <v>3</v>
      </c>
      <c r="N33" s="48"/>
      <c r="O33" s="142">
        <f t="shared" si="5"/>
        <v>0</v>
      </c>
      <c r="P33" s="48">
        <v>1</v>
      </c>
      <c r="Q33" s="142">
        <f t="shared" si="1"/>
        <v>3</v>
      </c>
      <c r="R33" s="48"/>
      <c r="S33" s="142">
        <f t="shared" si="6"/>
        <v>0</v>
      </c>
      <c r="T33" s="48"/>
      <c r="U33" s="142">
        <f t="shared" si="7"/>
        <v>0</v>
      </c>
      <c r="V33" s="48"/>
      <c r="W33" s="142">
        <f t="shared" si="8"/>
        <v>0</v>
      </c>
      <c r="X33" s="48"/>
      <c r="Y33" s="142">
        <f t="shared" si="9"/>
        <v>0</v>
      </c>
      <c r="Z33" s="48"/>
      <c r="AA33" s="142">
        <f t="shared" si="10"/>
        <v>0</v>
      </c>
      <c r="AC33" s="88">
        <f t="shared" si="2"/>
        <v>3</v>
      </c>
      <c r="AD33" s="60">
        <f t="shared" si="3"/>
        <v>537</v>
      </c>
    </row>
    <row r="34" spans="1:30" ht="13.5" customHeight="1">
      <c r="A34" s="11">
        <v>22</v>
      </c>
      <c r="B34" s="120" t="str">
        <f>IF('印刷・FAX　発注書'!B33="","",'印刷・FAX　発注書'!B33)</f>
        <v>アボカド</v>
      </c>
      <c r="C34" s="121" t="str">
        <f>IF('印刷・FAX　発注書'!C31="","",'印刷・FAX　発注書'!C31)</f>
        <v/>
      </c>
      <c r="D34" s="121" t="str">
        <f>IF('印刷・FAX　発注書'!D31="","",'印刷・FAX　発注書'!D31)</f>
        <v>3本</v>
      </c>
      <c r="E34" s="121" t="str">
        <f>IF('印刷・FAX　発注書'!E33="","",'印刷・FAX　発注書'!E33)</f>
        <v>個</v>
      </c>
      <c r="F34" s="121" t="str">
        <f>IF('印刷・FAX　発注書'!F33="","",'印刷・FAX　発注書'!F33)</f>
        <v>両方</v>
      </c>
      <c r="G34" s="121">
        <f>IF('印刷・FAX　発注書'!G33="","",'印刷・FAX　発注書'!G33)</f>
        <v>5</v>
      </c>
      <c r="H34" s="132">
        <f>IF('印刷・FAX　発注書'!H33="","",'印刷・FAX　発注書'!H33)</f>
        <v>168</v>
      </c>
      <c r="I34" s="133">
        <f t="shared" si="0"/>
        <v>121</v>
      </c>
      <c r="J34" s="134">
        <v>1</v>
      </c>
      <c r="K34" s="134">
        <f t="shared" si="4"/>
        <v>0.72</v>
      </c>
      <c r="L34" s="135">
        <f>'印刷・FAX　発注書'!L33</f>
        <v>0.28000000000000003</v>
      </c>
      <c r="M34" s="132">
        <f>IF('印刷・FAX　発注書'!M33="","",'印刷・FAX　発注書'!M33)</f>
        <v>3</v>
      </c>
      <c r="N34" s="48"/>
      <c r="O34" s="142">
        <f t="shared" si="5"/>
        <v>0</v>
      </c>
      <c r="P34" s="48"/>
      <c r="Q34" s="142">
        <f t="shared" si="1"/>
        <v>0</v>
      </c>
      <c r="R34" s="48"/>
      <c r="S34" s="142">
        <f t="shared" si="6"/>
        <v>0</v>
      </c>
      <c r="T34" s="48"/>
      <c r="U34" s="142">
        <f t="shared" si="7"/>
        <v>0</v>
      </c>
      <c r="V34" s="48"/>
      <c r="W34" s="142">
        <f t="shared" si="8"/>
        <v>0</v>
      </c>
      <c r="X34" s="48"/>
      <c r="Y34" s="142">
        <f t="shared" si="9"/>
        <v>0</v>
      </c>
      <c r="Z34" s="48"/>
      <c r="AA34" s="142">
        <f t="shared" si="10"/>
        <v>0</v>
      </c>
      <c r="AC34" s="88">
        <f t="shared" si="2"/>
        <v>0</v>
      </c>
      <c r="AD34" s="60">
        <f t="shared" si="3"/>
        <v>0</v>
      </c>
    </row>
    <row r="35" spans="1:30" ht="13.5" customHeight="1">
      <c r="A35" s="11">
        <v>23</v>
      </c>
      <c r="B35" s="120" t="str">
        <f>IF('印刷・FAX　発注書'!B34="","",'印刷・FAX　発注書'!B34)</f>
        <v>さつま芋</v>
      </c>
      <c r="C35" s="121" t="str">
        <f>IF('印刷・FAX　発注書'!C32="","",'印刷・FAX　発注書'!C32)</f>
        <v/>
      </c>
      <c r="D35" s="121" t="str">
        <f>IF('印刷・FAX　発注書'!D32="","",'印刷・FAX　発注書'!D32)</f>
        <v/>
      </c>
      <c r="E35" s="121" t="str">
        <f>IF('印刷・FAX　発注書'!E34="","",'印刷・FAX　発注書'!E34)</f>
        <v>パック</v>
      </c>
      <c r="F35" s="121" t="str">
        <f>IF('印刷・FAX　発注書'!F34="","",'印刷・FAX　発注書'!F34)</f>
        <v>常温</v>
      </c>
      <c r="G35" s="121">
        <f>IF('印刷・FAX　発注書'!G34="","",'印刷・FAX　発注書'!G34)</f>
        <v>10</v>
      </c>
      <c r="H35" s="132">
        <f>IF('印刷・FAX　発注書'!H34="","",'印刷・FAX　発注書'!H34)</f>
        <v>258</v>
      </c>
      <c r="I35" s="133">
        <f t="shared" si="0"/>
        <v>186</v>
      </c>
      <c r="J35" s="134">
        <v>1</v>
      </c>
      <c r="K35" s="134">
        <f t="shared" si="4"/>
        <v>0.72</v>
      </c>
      <c r="L35" s="135">
        <f>'印刷・FAX　発注書'!L34</f>
        <v>0.28000000000000003</v>
      </c>
      <c r="M35" s="132">
        <f>IF('印刷・FAX　発注書'!M34="","",'印刷・FAX　発注書'!M34)</f>
        <v>3</v>
      </c>
      <c r="N35" s="48"/>
      <c r="O35" s="142">
        <f t="shared" si="5"/>
        <v>0</v>
      </c>
      <c r="P35" s="48"/>
      <c r="Q35" s="142">
        <f t="shared" si="1"/>
        <v>0</v>
      </c>
      <c r="R35" s="48"/>
      <c r="S35" s="142">
        <f t="shared" si="6"/>
        <v>0</v>
      </c>
      <c r="T35" s="48"/>
      <c r="U35" s="142">
        <f t="shared" si="7"/>
        <v>0</v>
      </c>
      <c r="V35" s="48"/>
      <c r="W35" s="142">
        <f t="shared" si="8"/>
        <v>0</v>
      </c>
      <c r="X35" s="48"/>
      <c r="Y35" s="142">
        <f t="shared" si="9"/>
        <v>0</v>
      </c>
      <c r="Z35" s="48"/>
      <c r="AA35" s="142">
        <f t="shared" si="10"/>
        <v>0</v>
      </c>
      <c r="AC35" s="88">
        <f t="shared" si="2"/>
        <v>0</v>
      </c>
      <c r="AD35" s="60">
        <f t="shared" si="3"/>
        <v>0</v>
      </c>
    </row>
    <row r="36" spans="1:30" ht="13.5" customHeight="1">
      <c r="A36" s="11">
        <v>24</v>
      </c>
      <c r="B36" s="120" t="str">
        <f>IF('印刷・FAX　発注書'!B35="","",'印刷・FAX　発注書'!B35)</f>
        <v>ごぼう</v>
      </c>
      <c r="C36" s="121" t="str">
        <f>IF('印刷・FAX　発注書'!C33="","",'印刷・FAX　発注書'!C33)</f>
        <v/>
      </c>
      <c r="D36" s="121" t="str">
        <f>IF('印刷・FAX　発注書'!D33="","",'印刷・FAX　発注書'!D33)</f>
        <v/>
      </c>
      <c r="E36" s="121" t="str">
        <f>IF('印刷・FAX　発注書'!E35="","",'印刷・FAX　発注書'!E35)</f>
        <v/>
      </c>
      <c r="F36" s="121" t="str">
        <f>IF('印刷・FAX　発注書'!F35="","",'印刷・FAX　発注書'!F35)</f>
        <v/>
      </c>
      <c r="G36" s="121">
        <f>IF('印刷・FAX　発注書'!G35="","",'印刷・FAX　発注書'!G35)</f>
        <v>10</v>
      </c>
      <c r="H36" s="132">
        <f>IF('印刷・FAX　発注書'!H35="","",'印刷・FAX　発注書'!H35)</f>
        <v>198</v>
      </c>
      <c r="I36" s="133">
        <f t="shared" si="0"/>
        <v>143</v>
      </c>
      <c r="J36" s="134">
        <v>1</v>
      </c>
      <c r="K36" s="134">
        <f t="shared" si="4"/>
        <v>0.72</v>
      </c>
      <c r="L36" s="135">
        <f>'印刷・FAX　発注書'!L35</f>
        <v>0.28000000000000003</v>
      </c>
      <c r="M36" s="132">
        <f>IF('印刷・FAX　発注書'!M35="","",'印刷・FAX　発注書'!M35)</f>
        <v>2</v>
      </c>
      <c r="N36" s="48"/>
      <c r="O36" s="142">
        <f t="shared" si="5"/>
        <v>0</v>
      </c>
      <c r="P36" s="48"/>
      <c r="Q36" s="142">
        <f t="shared" si="1"/>
        <v>0</v>
      </c>
      <c r="R36" s="48"/>
      <c r="S36" s="142">
        <f t="shared" si="6"/>
        <v>0</v>
      </c>
      <c r="T36" s="48"/>
      <c r="U36" s="142">
        <f t="shared" si="7"/>
        <v>0</v>
      </c>
      <c r="V36" s="48"/>
      <c r="W36" s="142">
        <f t="shared" si="8"/>
        <v>0</v>
      </c>
      <c r="X36" s="48"/>
      <c r="Y36" s="142">
        <f t="shared" si="9"/>
        <v>0</v>
      </c>
      <c r="Z36" s="48"/>
      <c r="AA36" s="142">
        <f t="shared" si="10"/>
        <v>0</v>
      </c>
      <c r="AC36" s="88">
        <f t="shared" si="2"/>
        <v>0</v>
      </c>
      <c r="AD36" s="60">
        <f t="shared" si="3"/>
        <v>0</v>
      </c>
    </row>
    <row r="37" spans="1:30" ht="13.5" customHeight="1">
      <c r="A37" s="11">
        <v>25</v>
      </c>
      <c r="B37" s="120" t="str">
        <f>IF('印刷・FAX　発注書'!B36="","",'印刷・FAX　発注書'!B36)</f>
        <v/>
      </c>
      <c r="C37" s="121" t="str">
        <f>IF('印刷・FAX　発注書'!C34="","",'印刷・FAX　発注書'!C34)</f>
        <v/>
      </c>
      <c r="D37" s="121" t="str">
        <f>IF('印刷・FAX　発注書'!D34="","",'印刷・FAX　発注書'!D34)</f>
        <v/>
      </c>
      <c r="E37" s="121" t="str">
        <f>IF('印刷・FAX　発注書'!E36="","",'印刷・FAX　発注書'!E36)</f>
        <v/>
      </c>
      <c r="F37" s="121" t="str">
        <f>IF('印刷・FAX　発注書'!F36="","",'印刷・FAX　発注書'!F36)</f>
        <v>要冷</v>
      </c>
      <c r="G37" s="121">
        <f>IF('印刷・FAX　発注書'!G36="","",'印刷・FAX　発注書'!G36)</f>
        <v>5</v>
      </c>
      <c r="H37" s="132" t="str">
        <f>IF('印刷・FAX　発注書'!H36="","",'印刷・FAX　発注書'!H36)</f>
        <v/>
      </c>
      <c r="I37" s="133" t="str">
        <f t="shared" si="0"/>
        <v/>
      </c>
      <c r="J37" s="134">
        <v>1</v>
      </c>
      <c r="K37" s="134">
        <f t="shared" si="4"/>
        <v>0.72</v>
      </c>
      <c r="L37" s="135">
        <f>'印刷・FAX　発注書'!L36</f>
        <v>0.28000000000000003</v>
      </c>
      <c r="M37" s="132">
        <f>IF('印刷・FAX　発注書'!M36="","",'印刷・FAX　発注書'!M36)</f>
        <v>3</v>
      </c>
      <c r="N37" s="48"/>
      <c r="O37" s="142">
        <f t="shared" si="5"/>
        <v>0</v>
      </c>
      <c r="P37" s="48"/>
      <c r="Q37" s="142">
        <f t="shared" si="1"/>
        <v>0</v>
      </c>
      <c r="R37" s="48"/>
      <c r="S37" s="142">
        <f t="shared" si="6"/>
        <v>0</v>
      </c>
      <c r="T37" s="48"/>
      <c r="U37" s="142">
        <f t="shared" si="7"/>
        <v>0</v>
      </c>
      <c r="V37" s="48"/>
      <c r="W37" s="142">
        <f t="shared" si="8"/>
        <v>0</v>
      </c>
      <c r="X37" s="48"/>
      <c r="Y37" s="142">
        <f t="shared" si="9"/>
        <v>0</v>
      </c>
      <c r="Z37" s="48"/>
      <c r="AA37" s="142">
        <f t="shared" si="10"/>
        <v>0</v>
      </c>
      <c r="AC37" s="88">
        <f t="shared" si="2"/>
        <v>0</v>
      </c>
      <c r="AD37" s="60" t="str">
        <f t="shared" si="3"/>
        <v/>
      </c>
    </row>
    <row r="38" spans="1:30" ht="13.5" customHeight="1">
      <c r="A38" s="11">
        <v>26</v>
      </c>
      <c r="B38" s="120" t="str">
        <f>IF('印刷・FAX　発注書'!B37="","",'印刷・FAX　発注書'!B37)</f>
        <v>えのき茸</v>
      </c>
      <c r="C38" s="121" t="str">
        <f>IF('印刷・FAX　発注書'!C35="","",'印刷・FAX　発注書'!C35)</f>
        <v/>
      </c>
      <c r="D38" s="121" t="str">
        <f>IF('印刷・FAX　発注書'!D35="","",'印刷・FAX　発注書'!D35)</f>
        <v/>
      </c>
      <c r="E38" s="121" t="str">
        <f>IF('印刷・FAX　発注書'!E37="","",'印刷・FAX　発注書'!E37)</f>
        <v/>
      </c>
      <c r="F38" s="121" t="str">
        <f>IF('印刷・FAX　発注書'!F37="","",'印刷・FAX　発注書'!F37)</f>
        <v/>
      </c>
      <c r="G38" s="121">
        <f>IF('印刷・FAX　発注書'!G37="","",'印刷・FAX　発注書'!G37)</f>
        <v>5</v>
      </c>
      <c r="H38" s="132">
        <f>IF('印刷・FAX　発注書'!H37="","",'印刷・FAX　発注書'!H37)</f>
        <v>178</v>
      </c>
      <c r="I38" s="133">
        <f t="shared" si="0"/>
        <v>129</v>
      </c>
      <c r="J38" s="134">
        <v>1</v>
      </c>
      <c r="K38" s="134">
        <f t="shared" si="4"/>
        <v>0.72</v>
      </c>
      <c r="L38" s="135">
        <f>'印刷・FAX　発注書'!L37</f>
        <v>0.28000000000000003</v>
      </c>
      <c r="M38" s="132">
        <f>IF('印刷・FAX　発注書'!M37="","",'印刷・FAX　発注書'!M37)</f>
        <v>3</v>
      </c>
      <c r="N38" s="48"/>
      <c r="O38" s="142">
        <f t="shared" si="5"/>
        <v>0</v>
      </c>
      <c r="P38" s="48"/>
      <c r="Q38" s="142">
        <f t="shared" si="1"/>
        <v>0</v>
      </c>
      <c r="R38" s="48"/>
      <c r="S38" s="142">
        <f t="shared" si="6"/>
        <v>0</v>
      </c>
      <c r="T38" s="48"/>
      <c r="U38" s="142">
        <f t="shared" si="7"/>
        <v>0</v>
      </c>
      <c r="V38" s="48"/>
      <c r="W38" s="142">
        <f t="shared" si="8"/>
        <v>0</v>
      </c>
      <c r="X38" s="48"/>
      <c r="Y38" s="142">
        <f t="shared" si="9"/>
        <v>0</v>
      </c>
      <c r="Z38" s="48"/>
      <c r="AA38" s="142">
        <f t="shared" si="10"/>
        <v>0</v>
      </c>
      <c r="AC38" s="88">
        <f t="shared" si="2"/>
        <v>0</v>
      </c>
      <c r="AD38" s="60">
        <f t="shared" si="3"/>
        <v>0</v>
      </c>
    </row>
    <row r="39" spans="1:30" ht="13.5" customHeight="1">
      <c r="A39" s="11">
        <v>27</v>
      </c>
      <c r="B39" s="120" t="str">
        <f>IF('印刷・FAX　発注書'!B38="","",'印刷・FAX　発注書'!B38)</f>
        <v>しめじ</v>
      </c>
      <c r="C39" s="121" t="str">
        <f>IF('印刷・FAX　発注書'!C36="","",'印刷・FAX　発注書'!C36)</f>
        <v/>
      </c>
      <c r="D39" s="121" t="str">
        <f>IF('印刷・FAX　発注書'!D36="","",'印刷・FAX　発注書'!D36)</f>
        <v/>
      </c>
      <c r="E39" s="121" t="str">
        <f>IF('印刷・FAX　発注書'!E38="","",'印刷・FAX　発注書'!E38)</f>
        <v/>
      </c>
      <c r="F39" s="121" t="str">
        <f>IF('印刷・FAX　発注書'!F38="","",'印刷・FAX　発注書'!F38)</f>
        <v/>
      </c>
      <c r="G39" s="121">
        <f>IF('印刷・FAX　発注書'!G38="","",'印刷・FAX　発注書'!G38)</f>
        <v>5</v>
      </c>
      <c r="H39" s="132">
        <f>IF('印刷・FAX　発注書'!H38="","",'印刷・FAX　発注書'!H38)</f>
        <v>148</v>
      </c>
      <c r="I39" s="133">
        <f t="shared" si="0"/>
        <v>107</v>
      </c>
      <c r="J39" s="134">
        <v>1</v>
      </c>
      <c r="K39" s="134">
        <f t="shared" si="4"/>
        <v>0.72</v>
      </c>
      <c r="L39" s="135">
        <f>'印刷・FAX　発注書'!L38</f>
        <v>0.28000000000000003</v>
      </c>
      <c r="M39" s="132">
        <f>IF('印刷・FAX　発注書'!M38="","",'印刷・FAX　発注書'!M38)</f>
        <v>3</v>
      </c>
      <c r="N39" s="48"/>
      <c r="O39" s="142">
        <f t="shared" si="5"/>
        <v>0</v>
      </c>
      <c r="P39" s="48"/>
      <c r="Q39" s="142">
        <f t="shared" si="1"/>
        <v>0</v>
      </c>
      <c r="R39" s="48"/>
      <c r="S39" s="142">
        <f t="shared" si="6"/>
        <v>0</v>
      </c>
      <c r="T39" s="48"/>
      <c r="U39" s="142">
        <f t="shared" si="7"/>
        <v>0</v>
      </c>
      <c r="V39" s="48"/>
      <c r="W39" s="142">
        <f t="shared" si="8"/>
        <v>0</v>
      </c>
      <c r="X39" s="48"/>
      <c r="Y39" s="142">
        <f t="shared" si="9"/>
        <v>0</v>
      </c>
      <c r="Z39" s="48"/>
      <c r="AA39" s="142">
        <f t="shared" si="10"/>
        <v>0</v>
      </c>
      <c r="AC39" s="88">
        <f t="shared" si="2"/>
        <v>0</v>
      </c>
      <c r="AD39" s="60">
        <f t="shared" si="3"/>
        <v>0</v>
      </c>
    </row>
    <row r="40" spans="1:30" ht="13.5" customHeight="1">
      <c r="A40" s="11">
        <v>28</v>
      </c>
      <c r="B40" s="120" t="str">
        <f>IF('印刷・FAX　発注書'!B39="","",'印刷・FAX　発注書'!B39)</f>
        <v>しいたけ</v>
      </c>
      <c r="C40" s="121" t="str">
        <f>IF('印刷・FAX　発注書'!C37="","",'印刷・FAX　発注書'!C37)</f>
        <v/>
      </c>
      <c r="D40" s="121" t="str">
        <f>IF('印刷・FAX　発注書'!D37="","",'印刷・FAX　発注書'!D37)</f>
        <v/>
      </c>
      <c r="E40" s="121" t="str">
        <f>IF('印刷・FAX　発注書'!E39="","",'印刷・FAX　発注書'!E39)</f>
        <v/>
      </c>
      <c r="F40" s="121" t="str">
        <f>IF('印刷・FAX　発注書'!F39="","",'印刷・FAX　発注書'!F39)</f>
        <v/>
      </c>
      <c r="G40" s="121">
        <f>IF('印刷・FAX　発注書'!G39="","",'印刷・FAX　発注書'!G39)</f>
        <v>4</v>
      </c>
      <c r="H40" s="132">
        <f>IF('印刷・FAX　発注書'!H39="","",'印刷・FAX　発注書'!H39)</f>
        <v>158</v>
      </c>
      <c r="I40" s="133">
        <f t="shared" si="0"/>
        <v>114</v>
      </c>
      <c r="J40" s="134">
        <v>1</v>
      </c>
      <c r="K40" s="134">
        <f t="shared" si="4"/>
        <v>0.72</v>
      </c>
      <c r="L40" s="135">
        <f>'印刷・FAX　発注書'!L39</f>
        <v>0.28000000000000003</v>
      </c>
      <c r="M40" s="132">
        <f>IF('印刷・FAX　発注書'!M39="","",'印刷・FAX　発注書'!M39)</f>
        <v>3</v>
      </c>
      <c r="N40" s="48"/>
      <c r="O40" s="142">
        <f t="shared" si="5"/>
        <v>0</v>
      </c>
      <c r="P40" s="48">
        <v>1</v>
      </c>
      <c r="Q40" s="142">
        <f t="shared" si="1"/>
        <v>3</v>
      </c>
      <c r="R40" s="48"/>
      <c r="S40" s="142">
        <f t="shared" si="6"/>
        <v>0</v>
      </c>
      <c r="T40" s="48"/>
      <c r="U40" s="142">
        <f t="shared" si="7"/>
        <v>0</v>
      </c>
      <c r="V40" s="48"/>
      <c r="W40" s="142">
        <f t="shared" si="8"/>
        <v>0</v>
      </c>
      <c r="X40" s="48"/>
      <c r="Y40" s="142">
        <f t="shared" si="9"/>
        <v>0</v>
      </c>
      <c r="Z40" s="48"/>
      <c r="AA40" s="142">
        <f t="shared" si="10"/>
        <v>0</v>
      </c>
      <c r="AC40" s="88">
        <f t="shared" si="2"/>
        <v>3</v>
      </c>
      <c r="AD40" s="60">
        <f t="shared" si="3"/>
        <v>342</v>
      </c>
    </row>
    <row r="41" spans="1:30" ht="13.5" customHeight="1">
      <c r="A41" s="11">
        <v>29</v>
      </c>
      <c r="B41" s="120" t="str">
        <f>IF('印刷・FAX　発注書'!B40="","",'印刷・FAX　発注書'!B40)</f>
        <v>まいたけ</v>
      </c>
      <c r="C41" s="121" t="str">
        <f>IF('印刷・FAX　発注書'!C38="","",'印刷・FAX　発注書'!C38)</f>
        <v/>
      </c>
      <c r="D41" s="121" t="str">
        <f>IF('印刷・FAX　発注書'!D38="","",'印刷・FAX　発注書'!D38)</f>
        <v/>
      </c>
      <c r="E41" s="121" t="str">
        <f>IF('印刷・FAX　発注書'!E40="","",'印刷・FAX　発注書'!E40)</f>
        <v/>
      </c>
      <c r="F41" s="121" t="str">
        <f>IF('印刷・FAX　発注書'!F40="","",'印刷・FAX　発注書'!F40)</f>
        <v/>
      </c>
      <c r="G41" s="121">
        <f>IF('印刷・FAX　発注書'!G40="","",'印刷・FAX　発注書'!G40)</f>
        <v>5</v>
      </c>
      <c r="H41" s="132">
        <f>IF('印刷・FAX　発注書'!H40="","",'印刷・FAX　発注書'!H40)</f>
        <v>158</v>
      </c>
      <c r="I41" s="133">
        <f t="shared" si="0"/>
        <v>114</v>
      </c>
      <c r="J41" s="134">
        <v>1</v>
      </c>
      <c r="K41" s="134">
        <f t="shared" si="4"/>
        <v>0.72</v>
      </c>
      <c r="L41" s="135">
        <f>'印刷・FAX　発注書'!L40</f>
        <v>0.28000000000000003</v>
      </c>
      <c r="M41" s="132">
        <f>IF('印刷・FAX　発注書'!M40="","",'印刷・FAX　発注書'!M40)</f>
        <v>2</v>
      </c>
      <c r="N41" s="48"/>
      <c r="O41" s="142">
        <f t="shared" si="5"/>
        <v>0</v>
      </c>
      <c r="P41" s="48">
        <v>1</v>
      </c>
      <c r="Q41" s="142">
        <f t="shared" si="1"/>
        <v>2</v>
      </c>
      <c r="R41" s="48"/>
      <c r="S41" s="142">
        <f t="shared" si="6"/>
        <v>0</v>
      </c>
      <c r="T41" s="48"/>
      <c r="U41" s="142">
        <f t="shared" si="7"/>
        <v>0</v>
      </c>
      <c r="V41" s="48"/>
      <c r="W41" s="142">
        <f t="shared" si="8"/>
        <v>0</v>
      </c>
      <c r="X41" s="48"/>
      <c r="Y41" s="142">
        <f t="shared" si="9"/>
        <v>0</v>
      </c>
      <c r="Z41" s="48"/>
      <c r="AA41" s="142">
        <f t="shared" si="10"/>
        <v>0</v>
      </c>
      <c r="AC41" s="88">
        <f t="shared" si="2"/>
        <v>2</v>
      </c>
      <c r="AD41" s="60">
        <f t="shared" si="3"/>
        <v>228</v>
      </c>
    </row>
    <row r="42" spans="1:30" ht="13.5" customHeight="1">
      <c r="A42" s="11">
        <v>30</v>
      </c>
      <c r="B42" s="120" t="str">
        <f>IF('印刷・FAX　発注書'!B41="","",'印刷・FAX　発注書'!B41)</f>
        <v>エリンギ</v>
      </c>
      <c r="C42" s="121" t="str">
        <f>IF('印刷・FAX　発注書'!C39="","",'印刷・FAX　発注書'!C39)</f>
        <v/>
      </c>
      <c r="D42" s="121" t="str">
        <f>IF('印刷・FAX　発注書'!D39="","",'印刷・FAX　発注書'!D39)</f>
        <v/>
      </c>
      <c r="E42" s="121" t="str">
        <f>IF('印刷・FAX　発注書'!E41="","",'印刷・FAX　発注書'!E41)</f>
        <v/>
      </c>
      <c r="F42" s="121" t="str">
        <f>IF('印刷・FAX　発注書'!F41="","",'印刷・FAX　発注書'!F41)</f>
        <v/>
      </c>
      <c r="G42" s="121">
        <f>IF('印刷・FAX　発注書'!G41="","",'印刷・FAX　発注書'!G41)</f>
        <v>5</v>
      </c>
      <c r="H42" s="132">
        <f>IF('印刷・FAX　発注書'!H41="","",'印刷・FAX　発注書'!H41)</f>
        <v>158</v>
      </c>
      <c r="I42" s="133">
        <f t="shared" si="0"/>
        <v>114</v>
      </c>
      <c r="J42" s="134">
        <v>1</v>
      </c>
      <c r="K42" s="134">
        <f t="shared" si="4"/>
        <v>0.72</v>
      </c>
      <c r="L42" s="135">
        <f>'印刷・FAX　発注書'!L41</f>
        <v>0.28000000000000003</v>
      </c>
      <c r="M42" s="132">
        <f>IF('印刷・FAX　発注書'!M41="","",'印刷・FAX　発注書'!M41)</f>
        <v>2</v>
      </c>
      <c r="N42" s="48"/>
      <c r="O42" s="142">
        <f t="shared" si="5"/>
        <v>0</v>
      </c>
      <c r="P42" s="48">
        <v>1</v>
      </c>
      <c r="Q42" s="142">
        <f t="shared" si="1"/>
        <v>2</v>
      </c>
      <c r="R42" s="48"/>
      <c r="S42" s="142">
        <f t="shared" si="6"/>
        <v>0</v>
      </c>
      <c r="T42" s="48"/>
      <c r="U42" s="142">
        <f t="shared" si="7"/>
        <v>0</v>
      </c>
      <c r="V42" s="48"/>
      <c r="W42" s="142">
        <f t="shared" si="8"/>
        <v>0</v>
      </c>
      <c r="X42" s="48"/>
      <c r="Y42" s="142">
        <f t="shared" si="9"/>
        <v>0</v>
      </c>
      <c r="Z42" s="48"/>
      <c r="AA42" s="142">
        <f t="shared" si="10"/>
        <v>0</v>
      </c>
      <c r="AC42" s="88">
        <f t="shared" si="2"/>
        <v>2</v>
      </c>
      <c r="AD42" s="60">
        <f t="shared" si="3"/>
        <v>228</v>
      </c>
    </row>
    <row r="43" spans="1:30" ht="13.5" customHeight="1">
      <c r="A43" s="11">
        <v>31</v>
      </c>
      <c r="B43" s="120" t="str">
        <f>IF('印刷・FAX　発注書'!B42="","",'印刷・FAX　発注書'!B42)</f>
        <v>なめこ</v>
      </c>
      <c r="C43" s="121" t="str">
        <f>IF('印刷・FAX　発注書'!C40="","",'印刷・FAX　発注書'!C40)</f>
        <v/>
      </c>
      <c r="D43" s="121" t="str">
        <f>IF('印刷・FAX　発注書'!D40="","",'印刷・FAX　発注書'!D40)</f>
        <v/>
      </c>
      <c r="E43" s="121" t="str">
        <f>IF('印刷・FAX　発注書'!E42="","",'印刷・FAX　発注書'!E42)</f>
        <v>100ｇ</v>
      </c>
      <c r="F43" s="121" t="str">
        <f>IF('印刷・FAX　発注書'!F42="","",'印刷・FAX　発注書'!F42)</f>
        <v>要冷</v>
      </c>
      <c r="G43" s="121">
        <f>IF('印刷・FAX　発注書'!G42="","",'印刷・FAX　発注書'!G42)</f>
        <v>5</v>
      </c>
      <c r="H43" s="132">
        <f>IF('印刷・FAX　発注書'!H42="","",'印刷・FAX　発注書'!H42)</f>
        <v>108</v>
      </c>
      <c r="I43" s="133">
        <f t="shared" si="0"/>
        <v>78</v>
      </c>
      <c r="J43" s="134">
        <v>1</v>
      </c>
      <c r="K43" s="134">
        <f t="shared" si="4"/>
        <v>0.72</v>
      </c>
      <c r="L43" s="135">
        <f>'印刷・FAX　発注書'!L42</f>
        <v>0.28000000000000003</v>
      </c>
      <c r="M43" s="132">
        <f>IF('印刷・FAX　発注書'!M42="","",'印刷・FAX　発注書'!M42)</f>
        <v>3</v>
      </c>
      <c r="N43" s="48"/>
      <c r="O43" s="142">
        <f t="shared" si="5"/>
        <v>0</v>
      </c>
      <c r="P43" s="48"/>
      <c r="Q43" s="142">
        <f t="shared" si="1"/>
        <v>0</v>
      </c>
      <c r="R43" s="48"/>
      <c r="S43" s="142">
        <f t="shared" si="6"/>
        <v>0</v>
      </c>
      <c r="T43" s="48"/>
      <c r="U43" s="142">
        <f t="shared" si="7"/>
        <v>0</v>
      </c>
      <c r="V43" s="48"/>
      <c r="W43" s="142">
        <f t="shared" si="8"/>
        <v>0</v>
      </c>
      <c r="X43" s="48"/>
      <c r="Y43" s="142">
        <f t="shared" si="9"/>
        <v>0</v>
      </c>
      <c r="Z43" s="48"/>
      <c r="AA43" s="142">
        <f t="shared" si="10"/>
        <v>0</v>
      </c>
      <c r="AC43" s="88">
        <f t="shared" si="2"/>
        <v>0</v>
      </c>
      <c r="AD43" s="60">
        <f t="shared" si="3"/>
        <v>0</v>
      </c>
    </row>
    <row r="44" spans="1:30" ht="13.5" customHeight="1">
      <c r="A44" s="11">
        <v>32</v>
      </c>
      <c r="B44" s="120" t="str">
        <f>IF('印刷・FAX　発注書'!B43="","",'印刷・FAX　発注書'!B43)</f>
        <v>中国産ニンニク</v>
      </c>
      <c r="C44" s="121" t="str">
        <f>IF('印刷・FAX　発注書'!C41="","",'印刷・FAX　発注書'!C41)</f>
        <v/>
      </c>
      <c r="D44" s="121" t="str">
        <f>IF('印刷・FAX　発注書'!D41="","",'印刷・FAX　発注書'!D41)</f>
        <v/>
      </c>
      <c r="E44" s="121" t="str">
        <f>IF('印刷・FAX　発注書'!E43="","",'印刷・FAX　発注書'!E43)</f>
        <v>3個入り</v>
      </c>
      <c r="F44" s="121" t="str">
        <f>IF('印刷・FAX　発注書'!F43="","",'印刷・FAX　発注書'!F43)</f>
        <v>常温</v>
      </c>
      <c r="G44" s="121">
        <f>IF('印刷・FAX　発注書'!G43="","",'印刷・FAX　発注書'!G43)</f>
        <v>15</v>
      </c>
      <c r="H44" s="132">
        <f>IF('印刷・FAX　発注書'!H43="","",'印刷・FAX　発注書'!H43)</f>
        <v>168</v>
      </c>
      <c r="I44" s="133">
        <f t="shared" si="0"/>
        <v>121</v>
      </c>
      <c r="J44" s="134">
        <v>1</v>
      </c>
      <c r="K44" s="134">
        <f t="shared" si="4"/>
        <v>0.72</v>
      </c>
      <c r="L44" s="135">
        <f>'印刷・FAX　発注書'!L43</f>
        <v>0.28000000000000003</v>
      </c>
      <c r="M44" s="132">
        <f>IF('印刷・FAX　発注書'!M43="","",'印刷・FAX　発注書'!M43)</f>
        <v>3</v>
      </c>
      <c r="N44" s="48"/>
      <c r="O44" s="142">
        <f t="shared" si="5"/>
        <v>0</v>
      </c>
      <c r="P44" s="48"/>
      <c r="Q44" s="142">
        <f t="shared" si="1"/>
        <v>0</v>
      </c>
      <c r="R44" s="48"/>
      <c r="S44" s="142">
        <f t="shared" si="6"/>
        <v>0</v>
      </c>
      <c r="T44" s="48"/>
      <c r="U44" s="142">
        <f t="shared" si="7"/>
        <v>0</v>
      </c>
      <c r="V44" s="48"/>
      <c r="W44" s="142">
        <f t="shared" si="8"/>
        <v>0</v>
      </c>
      <c r="X44" s="48"/>
      <c r="Y44" s="142">
        <f t="shared" si="9"/>
        <v>0</v>
      </c>
      <c r="Z44" s="48"/>
      <c r="AA44" s="142">
        <f t="shared" si="10"/>
        <v>0</v>
      </c>
      <c r="AC44" s="88">
        <f t="shared" si="2"/>
        <v>0</v>
      </c>
      <c r="AD44" s="60">
        <f t="shared" si="3"/>
        <v>0</v>
      </c>
    </row>
    <row r="45" spans="1:30" ht="13.5" customHeight="1">
      <c r="A45" s="11">
        <v>33</v>
      </c>
      <c r="B45" s="120" t="str">
        <f>IF('印刷・FAX　発注書'!B44="","",'印刷・FAX　発注書'!B44)</f>
        <v>レモン</v>
      </c>
      <c r="C45" s="121" t="str">
        <f>IF('印刷・FAX　発注書'!C42="","",'印刷・FAX　発注書'!C42)</f>
        <v/>
      </c>
      <c r="D45" s="121" t="str">
        <f>IF('印刷・FAX　発注書'!D42="","",'印刷・FAX　発注書'!D42)</f>
        <v/>
      </c>
      <c r="E45" s="121" t="str">
        <f>IF('印刷・FAX　発注書'!E44="","",'印刷・FAX　発注書'!E44)</f>
        <v/>
      </c>
      <c r="F45" s="121" t="str">
        <f>IF('印刷・FAX　発注書'!F44="","",'印刷・FAX　発注書'!F44)</f>
        <v>両方</v>
      </c>
      <c r="G45" s="121">
        <f>IF('印刷・FAX　発注書'!G44="","",'印刷・FAX　発注書'!G44)</f>
        <v>15</v>
      </c>
      <c r="H45" s="132">
        <f>IF('印刷・FAX　発注書'!H44="","",'印刷・FAX　発注書'!H44)</f>
        <v>138</v>
      </c>
      <c r="I45" s="133">
        <f t="shared" si="0"/>
        <v>100</v>
      </c>
      <c r="J45" s="134">
        <v>1</v>
      </c>
      <c r="K45" s="134">
        <f t="shared" si="4"/>
        <v>0.72</v>
      </c>
      <c r="L45" s="135">
        <f>'印刷・FAX　発注書'!L44</f>
        <v>0.28000000000000003</v>
      </c>
      <c r="M45" s="132">
        <f>IF('印刷・FAX　発注書'!M44="","",'印刷・FAX　発注書'!M44)</f>
        <v>3</v>
      </c>
      <c r="N45" s="48"/>
      <c r="O45" s="142">
        <f t="shared" si="5"/>
        <v>0</v>
      </c>
      <c r="P45" s="48"/>
      <c r="Q45" s="142">
        <f t="shared" si="1"/>
        <v>0</v>
      </c>
      <c r="R45" s="48"/>
      <c r="S45" s="142">
        <f t="shared" si="6"/>
        <v>0</v>
      </c>
      <c r="T45" s="48"/>
      <c r="U45" s="142">
        <f t="shared" si="7"/>
        <v>0</v>
      </c>
      <c r="V45" s="48"/>
      <c r="W45" s="142">
        <f t="shared" si="8"/>
        <v>0</v>
      </c>
      <c r="X45" s="48"/>
      <c r="Y45" s="142">
        <f t="shared" si="9"/>
        <v>0</v>
      </c>
      <c r="Z45" s="48"/>
      <c r="AA45" s="142">
        <f t="shared" si="10"/>
        <v>0</v>
      </c>
      <c r="AC45" s="88">
        <f t="shared" si="2"/>
        <v>0</v>
      </c>
      <c r="AD45" s="60">
        <f t="shared" si="3"/>
        <v>0</v>
      </c>
    </row>
    <row r="46" spans="1:30" ht="13.5" customHeight="1">
      <c r="A46" s="11">
        <v>34</v>
      </c>
      <c r="B46" s="120" t="str">
        <f>IF('印刷・FAX　発注書'!B45="","",'印刷・FAX　発注書'!B45)</f>
        <v>甘夏</v>
      </c>
      <c r="C46" s="121" t="str">
        <f>IF('印刷・FAX　発注書'!C43="","",'印刷・FAX　発注書'!C43)</f>
        <v/>
      </c>
      <c r="D46" s="121" t="str">
        <f>IF('印刷・FAX　発注書'!D43="","",'印刷・FAX　発注書'!D43)</f>
        <v/>
      </c>
      <c r="E46" s="121" t="str">
        <f>IF('印刷・FAX　発注書'!E45="","",'印刷・FAX　発注書'!E45)</f>
        <v>パック</v>
      </c>
      <c r="F46" s="121" t="str">
        <f>IF('印刷・FAX　発注書'!F45="","",'印刷・FAX　発注書'!F45)</f>
        <v>要冷</v>
      </c>
      <c r="G46" s="121">
        <f>IF('印刷・FAX　発注書'!G45="","",'印刷・FAX　発注書'!G45)</f>
        <v>5</v>
      </c>
      <c r="H46" s="132">
        <f>IF('印刷・FAX　発注書'!H45="","",'印刷・FAX　発注書'!H45)</f>
        <v>238</v>
      </c>
      <c r="I46" s="133">
        <f t="shared" si="0"/>
        <v>172</v>
      </c>
      <c r="J46" s="134">
        <v>1</v>
      </c>
      <c r="K46" s="134">
        <f t="shared" si="4"/>
        <v>0.72</v>
      </c>
      <c r="L46" s="135">
        <f>'印刷・FAX　発注書'!L45</f>
        <v>0.28000000000000003</v>
      </c>
      <c r="M46" s="132">
        <f>IF('印刷・FAX　発注書'!M45="","",'印刷・FAX　発注書'!M45)</f>
        <v>3</v>
      </c>
      <c r="N46" s="48"/>
      <c r="O46" s="142">
        <f t="shared" si="5"/>
        <v>0</v>
      </c>
      <c r="P46" s="48"/>
      <c r="Q46" s="142">
        <f t="shared" si="1"/>
        <v>0</v>
      </c>
      <c r="R46" s="48"/>
      <c r="S46" s="142">
        <f t="shared" si="6"/>
        <v>0</v>
      </c>
      <c r="T46" s="48"/>
      <c r="U46" s="142">
        <f t="shared" si="7"/>
        <v>0</v>
      </c>
      <c r="V46" s="48"/>
      <c r="W46" s="142">
        <f t="shared" si="8"/>
        <v>0</v>
      </c>
      <c r="X46" s="48"/>
      <c r="Y46" s="142">
        <f t="shared" si="9"/>
        <v>0</v>
      </c>
      <c r="Z46" s="48"/>
      <c r="AA46" s="142">
        <f t="shared" si="10"/>
        <v>0</v>
      </c>
      <c r="AC46" s="88">
        <f t="shared" si="2"/>
        <v>0</v>
      </c>
      <c r="AD46" s="60">
        <f t="shared" si="3"/>
        <v>0</v>
      </c>
    </row>
    <row r="47" spans="1:30" ht="13.5" customHeight="1">
      <c r="A47" s="11">
        <v>35</v>
      </c>
      <c r="B47" s="120" t="str">
        <f>IF('印刷・FAX　発注書'!B46="","",'印刷・FAX　発注書'!B46)</f>
        <v>大葉しそ</v>
      </c>
      <c r="C47" s="121" t="str">
        <f>IF('印刷・FAX　発注書'!C44="","",'印刷・FAX　発注書'!C44)</f>
        <v>米国</v>
      </c>
      <c r="D47" s="121" t="str">
        <f>IF('印刷・FAX　発注書'!D44="","",'印刷・FAX　発注書'!D44)</f>
        <v/>
      </c>
      <c r="E47" s="121" t="str">
        <f>IF('印刷・FAX　発注書'!E46="","",'印刷・FAX　発注書'!E46)</f>
        <v>ﾊﾟｯｸ</v>
      </c>
      <c r="F47" s="121" t="str">
        <f>IF('印刷・FAX　発注書'!F46="","",'印刷・FAX　発注書'!F46)</f>
        <v/>
      </c>
      <c r="G47" s="121">
        <f>IF('印刷・FAX　発注書'!G46="","",'印刷・FAX　発注書'!G46)</f>
        <v>4</v>
      </c>
      <c r="H47" s="132">
        <f>IF('印刷・FAX　発注書'!H46="","",'印刷・FAX　発注書'!H46)</f>
        <v>128</v>
      </c>
      <c r="I47" s="133">
        <f t="shared" si="0"/>
        <v>93</v>
      </c>
      <c r="J47" s="134">
        <v>1</v>
      </c>
      <c r="K47" s="134">
        <f t="shared" si="4"/>
        <v>0.72</v>
      </c>
      <c r="L47" s="135">
        <f>'印刷・FAX　発注書'!L46</f>
        <v>0.28000000000000003</v>
      </c>
      <c r="M47" s="132">
        <f>IF('印刷・FAX　発注書'!M46="","",'印刷・FAX　発注書'!M46)</f>
        <v>3</v>
      </c>
      <c r="N47" s="48"/>
      <c r="O47" s="142">
        <f t="shared" si="5"/>
        <v>0</v>
      </c>
      <c r="P47" s="48">
        <v>1</v>
      </c>
      <c r="Q47" s="142">
        <f t="shared" si="1"/>
        <v>3</v>
      </c>
      <c r="R47" s="48"/>
      <c r="S47" s="142">
        <f t="shared" si="6"/>
        <v>0</v>
      </c>
      <c r="T47" s="48"/>
      <c r="U47" s="142">
        <f t="shared" si="7"/>
        <v>0</v>
      </c>
      <c r="V47" s="48"/>
      <c r="W47" s="142">
        <f t="shared" si="8"/>
        <v>0</v>
      </c>
      <c r="X47" s="48"/>
      <c r="Y47" s="142">
        <f t="shared" si="9"/>
        <v>0</v>
      </c>
      <c r="Z47" s="48"/>
      <c r="AA47" s="142">
        <f t="shared" si="10"/>
        <v>0</v>
      </c>
      <c r="AC47" s="88">
        <f t="shared" si="2"/>
        <v>3</v>
      </c>
      <c r="AD47" s="60">
        <f t="shared" si="3"/>
        <v>279</v>
      </c>
    </row>
    <row r="48" spans="1:30" ht="13.5" customHeight="1">
      <c r="A48" s="11">
        <v>36</v>
      </c>
      <c r="B48" s="120" t="str">
        <f>IF('印刷・FAX　発注書'!B47="","",'印刷・FAX　発注書'!B47)</f>
        <v>温州みかん</v>
      </c>
      <c r="C48" s="121" t="str">
        <f>IF('印刷・FAX　発注書'!C45="","",'印刷・FAX　発注書'!C45)</f>
        <v/>
      </c>
      <c r="D48" s="121" t="str">
        <f>IF('印刷・FAX　発注書'!D45="","",'印刷・FAX　発注書'!D45)</f>
        <v>2個</v>
      </c>
      <c r="E48" s="121" t="str">
        <f>IF('印刷・FAX　発注書'!E47="","",'印刷・FAX　発注書'!E47)</f>
        <v>パック</v>
      </c>
      <c r="F48" s="121" t="str">
        <f>IF('印刷・FAX　発注書'!F47="","",'印刷・FAX　発注書'!F47)</f>
        <v>要冷</v>
      </c>
      <c r="G48" s="121">
        <f>IF('印刷・FAX　発注書'!G47="","",'印刷・FAX　発注書'!G47)</f>
        <v>5</v>
      </c>
      <c r="H48" s="132">
        <f>IF('印刷・FAX　発注書'!H47="","",'印刷・FAX　発注書'!H47)</f>
        <v>378</v>
      </c>
      <c r="I48" s="133">
        <f t="shared" si="0"/>
        <v>273</v>
      </c>
      <c r="J48" s="134">
        <v>1</v>
      </c>
      <c r="K48" s="134">
        <f t="shared" si="4"/>
        <v>0.72</v>
      </c>
      <c r="L48" s="135">
        <f>'印刷・FAX　発注書'!L47</f>
        <v>0.28000000000000003</v>
      </c>
      <c r="M48" s="132">
        <f>IF('印刷・FAX　発注書'!M47="","",'印刷・FAX　発注書'!M47)</f>
        <v>3</v>
      </c>
      <c r="N48" s="48"/>
      <c r="O48" s="142">
        <f t="shared" si="5"/>
        <v>0</v>
      </c>
      <c r="P48" s="48"/>
      <c r="Q48" s="142">
        <f t="shared" si="1"/>
        <v>0</v>
      </c>
      <c r="R48" s="48"/>
      <c r="S48" s="142">
        <f t="shared" si="6"/>
        <v>0</v>
      </c>
      <c r="T48" s="48"/>
      <c r="U48" s="142">
        <f t="shared" si="7"/>
        <v>0</v>
      </c>
      <c r="V48" s="48"/>
      <c r="W48" s="142">
        <f t="shared" si="8"/>
        <v>0</v>
      </c>
      <c r="X48" s="48"/>
      <c r="Y48" s="142">
        <f t="shared" si="9"/>
        <v>0</v>
      </c>
      <c r="Z48" s="48"/>
      <c r="AA48" s="142">
        <f t="shared" si="10"/>
        <v>0</v>
      </c>
      <c r="AC48" s="88">
        <f t="shared" si="2"/>
        <v>0</v>
      </c>
      <c r="AD48" s="60">
        <f t="shared" si="3"/>
        <v>0</v>
      </c>
    </row>
    <row r="49" spans="1:30" ht="13.5" customHeight="1">
      <c r="A49" s="11">
        <v>37</v>
      </c>
      <c r="B49" s="120" t="str">
        <f>IF('印刷・FAX　発注書'!B48="","",'印刷・FAX　発注書'!B48)</f>
        <v>ソルダム</v>
      </c>
      <c r="C49" s="121" t="e">
        <f>IF('印刷・FAX　発注書'!#REF!="","",'印刷・FAX　発注書'!#REF!)</f>
        <v>#REF!</v>
      </c>
      <c r="D49" s="121" t="e">
        <f>IF('印刷・FAX　発注書'!#REF!="","",'印刷・FAX　発注書'!#REF!)</f>
        <v>#REF!</v>
      </c>
      <c r="E49" s="121" t="str">
        <f>IF('印刷・FAX　発注書'!E48="","",'印刷・FAX　発注書'!E48)</f>
        <v>パック</v>
      </c>
      <c r="F49" s="121" t="str">
        <f>IF('印刷・FAX　発注書'!F48="","",'印刷・FAX　発注書'!F48)</f>
        <v/>
      </c>
      <c r="G49" s="121">
        <f>IF('印刷・FAX　発注書'!G48="","",'印刷・FAX　発注書'!G48)</f>
        <v>7</v>
      </c>
      <c r="H49" s="132">
        <f>IF('印刷・FAX　発注書'!H48="","",'印刷・FAX　発注書'!H48)</f>
        <v>398</v>
      </c>
      <c r="I49" s="133">
        <f t="shared" si="0"/>
        <v>287</v>
      </c>
      <c r="J49" s="134">
        <v>1</v>
      </c>
      <c r="K49" s="134">
        <f t="shared" si="4"/>
        <v>0.72</v>
      </c>
      <c r="L49" s="135">
        <f>'印刷・FAX　発注書'!L48</f>
        <v>0.28000000000000003</v>
      </c>
      <c r="M49" s="132">
        <f>IF('印刷・FAX　発注書'!M48="","",'印刷・FAX　発注書'!M48)</f>
        <v>2</v>
      </c>
      <c r="N49" s="48"/>
      <c r="O49" s="142">
        <f t="shared" si="5"/>
        <v>0</v>
      </c>
      <c r="P49" s="48"/>
      <c r="Q49" s="142">
        <f t="shared" si="1"/>
        <v>0</v>
      </c>
      <c r="R49" s="48"/>
      <c r="S49" s="142">
        <f t="shared" si="6"/>
        <v>0</v>
      </c>
      <c r="T49" s="48"/>
      <c r="U49" s="142">
        <f t="shared" si="7"/>
        <v>0</v>
      </c>
      <c r="V49" s="48"/>
      <c r="W49" s="142">
        <f t="shared" si="8"/>
        <v>0</v>
      </c>
      <c r="X49" s="48"/>
      <c r="Y49" s="142">
        <f t="shared" si="9"/>
        <v>0</v>
      </c>
      <c r="Z49" s="48"/>
      <c r="AA49" s="142">
        <f t="shared" si="10"/>
        <v>0</v>
      </c>
      <c r="AC49" s="88">
        <f t="shared" si="2"/>
        <v>0</v>
      </c>
      <c r="AD49" s="60">
        <f t="shared" si="3"/>
        <v>0</v>
      </c>
    </row>
    <row r="50" spans="1:30" ht="13.5" customHeight="1">
      <c r="A50" s="11">
        <v>38</v>
      </c>
      <c r="B50" s="120" t="str">
        <f>IF('印刷・FAX　発注書'!B49="","",'印刷・FAX　発注書'!B49)</f>
        <v>オレンジ2個</v>
      </c>
      <c r="C50" s="121" t="str">
        <f>IF('印刷・FAX　発注書'!C46="","",'印刷・FAX　発注書'!C46)</f>
        <v/>
      </c>
      <c r="D50" s="121" t="str">
        <f>IF('印刷・FAX　発注書'!D46="","",'印刷・FAX　発注書'!D46)</f>
        <v>１０枚</v>
      </c>
      <c r="E50" s="121" t="str">
        <f>IF('印刷・FAX　発注書'!E49="","",'印刷・FAX　発注書'!E49)</f>
        <v/>
      </c>
      <c r="F50" s="121" t="str">
        <f>IF('印刷・FAX　発注書'!F49="","",'印刷・FAX　発注書'!F49)</f>
        <v/>
      </c>
      <c r="G50" s="121">
        <f>IF('印刷・FAX　発注書'!G49="","",'印刷・FAX　発注書'!G49)</f>
        <v>5</v>
      </c>
      <c r="H50" s="132">
        <f>IF('印刷・FAX　発注書'!H49="","",'印刷・FAX　発注書'!H49)</f>
        <v>248</v>
      </c>
      <c r="I50" s="133">
        <f t="shared" si="0"/>
        <v>179</v>
      </c>
      <c r="J50" s="134">
        <v>1</v>
      </c>
      <c r="K50" s="134">
        <f t="shared" si="4"/>
        <v>0.72</v>
      </c>
      <c r="L50" s="135">
        <f>'印刷・FAX　発注書'!L49</f>
        <v>0.28000000000000003</v>
      </c>
      <c r="M50" s="132">
        <f>IF('印刷・FAX　発注書'!M49="","",'印刷・FAX　発注書'!M49)</f>
        <v>3</v>
      </c>
      <c r="N50" s="48"/>
      <c r="O50" s="142">
        <f t="shared" si="5"/>
        <v>0</v>
      </c>
      <c r="P50" s="48"/>
      <c r="Q50" s="142">
        <f t="shared" si="1"/>
        <v>0</v>
      </c>
      <c r="R50" s="48"/>
      <c r="S50" s="142">
        <f t="shared" si="6"/>
        <v>0</v>
      </c>
      <c r="T50" s="48"/>
      <c r="U50" s="142">
        <f t="shared" si="7"/>
        <v>0</v>
      </c>
      <c r="V50" s="48"/>
      <c r="W50" s="142">
        <f t="shared" si="8"/>
        <v>0</v>
      </c>
      <c r="X50" s="48"/>
      <c r="Y50" s="142">
        <f t="shared" si="9"/>
        <v>0</v>
      </c>
      <c r="Z50" s="48"/>
      <c r="AA50" s="142">
        <f t="shared" si="10"/>
        <v>0</v>
      </c>
      <c r="AC50" s="88">
        <f t="shared" si="2"/>
        <v>0</v>
      </c>
      <c r="AD50" s="60">
        <f t="shared" si="3"/>
        <v>0</v>
      </c>
    </row>
    <row r="51" spans="1:30" ht="13.5" customHeight="1">
      <c r="A51" s="11">
        <v>39</v>
      </c>
      <c r="B51" s="120" t="str">
        <f>IF('印刷・FAX　発注書'!B50="","",'印刷・FAX　発注書'!B50)</f>
        <v>リンゴ</v>
      </c>
      <c r="C51" s="121" t="str">
        <f>IF('印刷・FAX　発注書'!C47="","",'印刷・FAX　発注書'!C47)</f>
        <v/>
      </c>
      <c r="D51" s="121" t="str">
        <f>IF('印刷・FAX　発注書'!D47="","",'印刷・FAX　発注書'!D47)</f>
        <v>5個</v>
      </c>
      <c r="E51" s="121" t="str">
        <f>IF('印刷・FAX　発注書'!E50="","",'印刷・FAX　発注書'!E50)</f>
        <v>2個</v>
      </c>
      <c r="F51" s="121" t="str">
        <f>IF('印刷・FAX　発注書'!F50="","",'印刷・FAX　発注書'!F50)</f>
        <v>要冷</v>
      </c>
      <c r="G51" s="121">
        <f>IF('印刷・FAX　発注書'!G50="","",'印刷・FAX　発注書'!G50)</f>
        <v>3</v>
      </c>
      <c r="H51" s="132">
        <f>IF('印刷・FAX　発注書'!H50="","",'印刷・FAX　発注書'!H50)</f>
        <v>598</v>
      </c>
      <c r="I51" s="133">
        <f t="shared" si="0"/>
        <v>431</v>
      </c>
      <c r="J51" s="134">
        <v>1</v>
      </c>
      <c r="K51" s="134">
        <f t="shared" si="4"/>
        <v>0.72</v>
      </c>
      <c r="L51" s="135">
        <f>'印刷・FAX　発注書'!L50</f>
        <v>0.28000000000000003</v>
      </c>
      <c r="M51" s="132">
        <f>IF('印刷・FAX　発注書'!M50="","",'印刷・FAX　発注書'!M50)</f>
        <v>2</v>
      </c>
      <c r="N51" s="48"/>
      <c r="O51" s="142">
        <f t="shared" si="5"/>
        <v>0</v>
      </c>
      <c r="P51" s="48"/>
      <c r="Q51" s="142">
        <f t="shared" si="1"/>
        <v>0</v>
      </c>
      <c r="R51" s="48"/>
      <c r="S51" s="142">
        <f t="shared" si="6"/>
        <v>0</v>
      </c>
      <c r="T51" s="48"/>
      <c r="U51" s="142">
        <f t="shared" si="7"/>
        <v>0</v>
      </c>
      <c r="V51" s="48"/>
      <c r="W51" s="142">
        <f t="shared" si="8"/>
        <v>0</v>
      </c>
      <c r="X51" s="48"/>
      <c r="Y51" s="142">
        <f t="shared" si="9"/>
        <v>0</v>
      </c>
      <c r="Z51" s="48"/>
      <c r="AA51" s="142">
        <f t="shared" si="10"/>
        <v>0</v>
      </c>
      <c r="AC51" s="88">
        <f t="shared" si="2"/>
        <v>0</v>
      </c>
      <c r="AD51" s="60">
        <f t="shared" si="3"/>
        <v>0</v>
      </c>
    </row>
    <row r="52" spans="1:30" ht="13.5" customHeight="1">
      <c r="A52" s="11">
        <v>40</v>
      </c>
      <c r="B52" s="120" t="str">
        <f>IF('印刷・FAX　発注書'!B51="","",'印刷・FAX　発注書'!B51)</f>
        <v>メロン</v>
      </c>
      <c r="C52" s="121" t="str">
        <f>IF('印刷・FAX　発注書'!C48="","",'印刷・FAX　発注書'!C48)</f>
        <v/>
      </c>
      <c r="D52" s="121" t="str">
        <f>IF('印刷・FAX　発注書'!D48="","",'印刷・FAX　発注書'!D48)</f>
        <v/>
      </c>
      <c r="E52" s="121" t="str">
        <f>IF('印刷・FAX　発注書'!E51="","",'印刷・FAX　発注書'!E51)</f>
        <v>4個</v>
      </c>
      <c r="F52" s="121" t="str">
        <f>IF('印刷・FAX　発注書'!F51="","",'印刷・FAX　発注書'!F51)</f>
        <v/>
      </c>
      <c r="G52" s="121">
        <f>IF('印刷・FAX　発注書'!G51="","",'印刷・FAX　発注書'!G51)</f>
        <v>5</v>
      </c>
      <c r="H52" s="132">
        <f>IF('印刷・FAX　発注書'!H51="","",'印刷・FAX　発注書'!H51)</f>
        <v>598</v>
      </c>
      <c r="I52" s="133">
        <f t="shared" si="0"/>
        <v>431</v>
      </c>
      <c r="J52" s="134">
        <v>1</v>
      </c>
      <c r="K52" s="134">
        <f t="shared" si="4"/>
        <v>0.72</v>
      </c>
      <c r="L52" s="135">
        <f>'印刷・FAX　発注書'!L51</f>
        <v>0.28000000000000003</v>
      </c>
      <c r="M52" s="132">
        <f>IF('印刷・FAX　発注書'!M51="","",'印刷・FAX　発注書'!M51)</f>
        <v>2</v>
      </c>
      <c r="N52" s="48"/>
      <c r="O52" s="142">
        <f t="shared" si="5"/>
        <v>0</v>
      </c>
      <c r="P52" s="48"/>
      <c r="Q52" s="142">
        <f t="shared" si="1"/>
        <v>0</v>
      </c>
      <c r="R52" s="48"/>
      <c r="S52" s="142">
        <f t="shared" si="6"/>
        <v>0</v>
      </c>
      <c r="T52" s="48"/>
      <c r="U52" s="142">
        <f t="shared" si="7"/>
        <v>0</v>
      </c>
      <c r="V52" s="48"/>
      <c r="W52" s="142">
        <f t="shared" si="8"/>
        <v>0</v>
      </c>
      <c r="X52" s="48"/>
      <c r="Y52" s="142">
        <f t="shared" si="9"/>
        <v>0</v>
      </c>
      <c r="Z52" s="48"/>
      <c r="AA52" s="142">
        <f t="shared" si="10"/>
        <v>0</v>
      </c>
      <c r="AC52" s="88">
        <f t="shared" si="2"/>
        <v>0</v>
      </c>
      <c r="AD52" s="60">
        <f t="shared" si="3"/>
        <v>0</v>
      </c>
    </row>
    <row r="53" spans="1:30" ht="13.5" customHeight="1">
      <c r="A53" s="11">
        <v>41</v>
      </c>
      <c r="B53" s="120" t="str">
        <f>IF('印刷・FAX　発注書'!B52="","",'印刷・FAX　発注書'!B52)</f>
        <v/>
      </c>
      <c r="C53" s="121" t="e">
        <f>IF('印刷・FAX　発注書'!#REF!="","",'印刷・FAX　発注書'!#REF!)</f>
        <v>#REF!</v>
      </c>
      <c r="D53" s="121" t="e">
        <f>IF('印刷・FAX　発注書'!#REF!="","",'印刷・FAX　発注書'!#REF!)</f>
        <v>#REF!</v>
      </c>
      <c r="E53" s="121" t="str">
        <f>IF('印刷・FAX　発注書'!E52="","",'印刷・FAX　発注書'!E52)</f>
        <v/>
      </c>
      <c r="F53" s="121" t="str">
        <f>IF('印刷・FAX　発注書'!F52="","",'印刷・FAX　発注書'!F52)</f>
        <v/>
      </c>
      <c r="G53" s="121" t="str">
        <f>IF('印刷・FAX　発注書'!G52="","",'印刷・FAX　発注書'!G52)</f>
        <v/>
      </c>
      <c r="H53" s="132" t="str">
        <f>IF('印刷・FAX　発注書'!H52="","",'印刷・FAX　発注書'!H52)</f>
        <v/>
      </c>
      <c r="I53" s="133" t="str">
        <f t="shared" si="0"/>
        <v/>
      </c>
      <c r="J53" s="134">
        <v>1</v>
      </c>
      <c r="K53" s="134">
        <f t="shared" si="4"/>
        <v>0.72</v>
      </c>
      <c r="L53" s="135">
        <f>'印刷・FAX　発注書'!L52</f>
        <v>0.28000000000000003</v>
      </c>
      <c r="M53" s="132" t="str">
        <f>IF('印刷・FAX　発注書'!M52="","",'印刷・FAX　発注書'!M52)</f>
        <v/>
      </c>
      <c r="N53" s="48"/>
      <c r="O53" s="142">
        <f t="shared" si="5"/>
        <v>0</v>
      </c>
      <c r="P53" s="48"/>
      <c r="Q53" s="142">
        <f t="shared" si="1"/>
        <v>0</v>
      </c>
      <c r="R53" s="48"/>
      <c r="S53" s="142">
        <f t="shared" si="6"/>
        <v>0</v>
      </c>
      <c r="T53" s="48"/>
      <c r="U53" s="142">
        <f t="shared" si="7"/>
        <v>0</v>
      </c>
      <c r="V53" s="48"/>
      <c r="W53" s="142">
        <f t="shared" si="8"/>
        <v>0</v>
      </c>
      <c r="X53" s="48"/>
      <c r="Y53" s="142">
        <f t="shared" si="9"/>
        <v>0</v>
      </c>
      <c r="Z53" s="48"/>
      <c r="AA53" s="142">
        <f t="shared" si="10"/>
        <v>0</v>
      </c>
      <c r="AC53" s="88" t="str">
        <f t="shared" si="2"/>
        <v/>
      </c>
      <c r="AD53" s="60" t="str">
        <f t="shared" si="3"/>
        <v/>
      </c>
    </row>
    <row r="54" spans="1:30" ht="13.5" customHeight="1">
      <c r="A54" s="11">
        <v>42</v>
      </c>
      <c r="B54" s="120" t="str">
        <f>IF('印刷・FAX　発注書'!B53="","",'印刷・FAX　発注書'!B53)</f>
        <v/>
      </c>
      <c r="C54" s="121" t="str">
        <f>IF('印刷・FAX　発注書'!C49="","",'印刷・FAX　発注書'!C49)</f>
        <v/>
      </c>
      <c r="D54" s="121" t="str">
        <f>IF('印刷・FAX　発注書'!D49="","",'印刷・FAX　発注書'!D49)</f>
        <v/>
      </c>
      <c r="E54" s="121" t="str">
        <f>IF('印刷・FAX　発注書'!E53="","",'印刷・FAX　発注書'!E53)</f>
        <v/>
      </c>
      <c r="F54" s="121" t="str">
        <f>IF('印刷・FAX　発注書'!F53="","",'印刷・FAX　発注書'!F53)</f>
        <v/>
      </c>
      <c r="G54" s="121" t="str">
        <f>IF('印刷・FAX　発注書'!G53="","",'印刷・FAX　発注書'!G53)</f>
        <v/>
      </c>
      <c r="H54" s="132" t="str">
        <f>IF('印刷・FAX　発注書'!H53="","",'印刷・FAX　発注書'!H53)</f>
        <v/>
      </c>
      <c r="I54" s="133" t="str">
        <f t="shared" si="0"/>
        <v/>
      </c>
      <c r="J54" s="134">
        <v>1</v>
      </c>
      <c r="K54" s="134">
        <f t="shared" si="4"/>
        <v>0.72</v>
      </c>
      <c r="L54" s="135">
        <f>'印刷・FAX　発注書'!L53</f>
        <v>0.28000000000000003</v>
      </c>
      <c r="M54" s="132" t="str">
        <f>IF('印刷・FAX　発注書'!M53="","",'印刷・FAX　発注書'!M53)</f>
        <v/>
      </c>
      <c r="N54" s="48"/>
      <c r="O54" s="142">
        <f t="shared" si="5"/>
        <v>0</v>
      </c>
      <c r="P54" s="48"/>
      <c r="Q54" s="142">
        <f t="shared" si="1"/>
        <v>0</v>
      </c>
      <c r="R54" s="48"/>
      <c r="S54" s="142">
        <f t="shared" si="6"/>
        <v>0</v>
      </c>
      <c r="T54" s="48"/>
      <c r="U54" s="142">
        <f t="shared" si="7"/>
        <v>0</v>
      </c>
      <c r="V54" s="48"/>
      <c r="W54" s="142">
        <f t="shared" si="8"/>
        <v>0</v>
      </c>
      <c r="X54" s="48"/>
      <c r="Y54" s="142">
        <f t="shared" si="9"/>
        <v>0</v>
      </c>
      <c r="Z54" s="48"/>
      <c r="AA54" s="142">
        <f t="shared" si="10"/>
        <v>0</v>
      </c>
      <c r="AC54" s="88" t="str">
        <f t="shared" si="2"/>
        <v/>
      </c>
      <c r="AD54" s="60" t="str">
        <f t="shared" si="3"/>
        <v/>
      </c>
    </row>
    <row r="55" spans="1:30" ht="13.5" customHeight="1">
      <c r="A55" s="11">
        <v>43</v>
      </c>
      <c r="B55" s="120" t="str">
        <f>IF('印刷・FAX　発注書'!B54="","",'印刷・FAX　発注書'!B54)</f>
        <v/>
      </c>
      <c r="C55" s="121" t="e">
        <f>IF('印刷・FAX　発注書'!#REF!="","",'印刷・FAX　発注書'!#REF!)</f>
        <v>#REF!</v>
      </c>
      <c r="D55" s="121" t="e">
        <f>IF('印刷・FAX　発注書'!#REF!="","",'印刷・FAX　発注書'!#REF!)</f>
        <v>#REF!</v>
      </c>
      <c r="E55" s="121" t="str">
        <f>IF('印刷・FAX　発注書'!E54="","",'印刷・FAX　発注書'!E54)</f>
        <v/>
      </c>
      <c r="F55" s="121" t="str">
        <f>IF('印刷・FAX　発注書'!F54="","",'印刷・FAX　発注書'!F54)</f>
        <v/>
      </c>
      <c r="G55" s="121" t="str">
        <f>IF('印刷・FAX　発注書'!G54="","",'印刷・FAX　発注書'!G54)</f>
        <v/>
      </c>
      <c r="H55" s="132" t="str">
        <f>IF('印刷・FAX　発注書'!H54="","",'印刷・FAX　発注書'!H54)</f>
        <v/>
      </c>
      <c r="I55" s="133" t="str">
        <f t="shared" si="0"/>
        <v/>
      </c>
      <c r="J55" s="134">
        <v>1</v>
      </c>
      <c r="K55" s="134">
        <f t="shared" si="4"/>
        <v>0.72</v>
      </c>
      <c r="L55" s="135">
        <f>'印刷・FAX　発注書'!L54</f>
        <v>0.28000000000000003</v>
      </c>
      <c r="M55" s="132" t="str">
        <f>IF('印刷・FAX　発注書'!M54="","",'印刷・FAX　発注書'!M54)</f>
        <v/>
      </c>
      <c r="N55" s="48"/>
      <c r="O55" s="142">
        <f t="shared" si="5"/>
        <v>0</v>
      </c>
      <c r="P55" s="48"/>
      <c r="Q55" s="142">
        <f t="shared" si="1"/>
        <v>0</v>
      </c>
      <c r="R55" s="48"/>
      <c r="S55" s="142">
        <f t="shared" si="6"/>
        <v>0</v>
      </c>
      <c r="T55" s="48"/>
      <c r="U55" s="142">
        <f t="shared" si="7"/>
        <v>0</v>
      </c>
      <c r="V55" s="48"/>
      <c r="W55" s="142">
        <f t="shared" si="8"/>
        <v>0</v>
      </c>
      <c r="X55" s="48"/>
      <c r="Y55" s="142">
        <f t="shared" si="9"/>
        <v>0</v>
      </c>
      <c r="Z55" s="48"/>
      <c r="AA55" s="142">
        <f t="shared" si="10"/>
        <v>0</v>
      </c>
      <c r="AC55" s="88" t="str">
        <f t="shared" si="2"/>
        <v/>
      </c>
      <c r="AD55" s="60" t="str">
        <f t="shared" si="3"/>
        <v/>
      </c>
    </row>
    <row r="56" spans="1:30" ht="13.5" customHeight="1">
      <c r="A56" s="11">
        <v>44</v>
      </c>
      <c r="B56" s="120" t="str">
        <f>IF('印刷・FAX　発注書'!B55="","",'印刷・FAX　発注書'!B55)</f>
        <v/>
      </c>
      <c r="C56" s="121" t="e">
        <f>IF('印刷・FAX　発注書'!#REF!="","",'印刷・FAX　発注書'!#REF!)</f>
        <v>#REF!</v>
      </c>
      <c r="D56" s="121" t="e">
        <f>IF('印刷・FAX　発注書'!#REF!="","",'印刷・FAX　発注書'!#REF!)</f>
        <v>#REF!</v>
      </c>
      <c r="E56" s="121" t="str">
        <f>IF('印刷・FAX　発注書'!E55="","",'印刷・FAX　発注書'!E55)</f>
        <v/>
      </c>
      <c r="F56" s="121" t="str">
        <f>IF('印刷・FAX　発注書'!F55="","",'印刷・FAX　発注書'!F55)</f>
        <v/>
      </c>
      <c r="G56" s="121" t="str">
        <f>IF('印刷・FAX　発注書'!G55="","",'印刷・FAX　発注書'!G55)</f>
        <v/>
      </c>
      <c r="H56" s="132" t="str">
        <f>IF('印刷・FAX　発注書'!H55="","",'印刷・FAX　発注書'!H55)</f>
        <v/>
      </c>
      <c r="I56" s="133" t="str">
        <f t="shared" si="0"/>
        <v/>
      </c>
      <c r="J56" s="134">
        <v>1</v>
      </c>
      <c r="K56" s="134">
        <f t="shared" si="4"/>
        <v>0.72</v>
      </c>
      <c r="L56" s="135">
        <f>'印刷・FAX　発注書'!L55</f>
        <v>0.28000000000000003</v>
      </c>
      <c r="M56" s="132" t="str">
        <f>IF('印刷・FAX　発注書'!M55="","",'印刷・FAX　発注書'!M55)</f>
        <v/>
      </c>
      <c r="N56" s="50"/>
      <c r="O56" s="142">
        <f t="shared" si="5"/>
        <v>0</v>
      </c>
      <c r="P56" s="50"/>
      <c r="Q56" s="142">
        <f>IFERROR($M56*P56,0)</f>
        <v>0</v>
      </c>
      <c r="R56" s="50"/>
      <c r="S56" s="142">
        <f t="shared" si="6"/>
        <v>0</v>
      </c>
      <c r="T56" s="48"/>
      <c r="U56" s="142">
        <f t="shared" si="7"/>
        <v>0</v>
      </c>
      <c r="V56" s="48"/>
      <c r="W56" s="142">
        <f t="shared" si="8"/>
        <v>0</v>
      </c>
      <c r="X56" s="48"/>
      <c r="Y56" s="142">
        <f t="shared" si="9"/>
        <v>0</v>
      </c>
      <c r="Z56" s="48"/>
      <c r="AA56" s="142">
        <f t="shared" si="10"/>
        <v>0</v>
      </c>
      <c r="AC56" s="88" t="str">
        <f t="shared" si="2"/>
        <v/>
      </c>
      <c r="AD56" s="60" t="str">
        <f t="shared" si="3"/>
        <v/>
      </c>
    </row>
    <row r="57" spans="1:30" ht="13.5" customHeight="1">
      <c r="A57" s="11">
        <v>45</v>
      </c>
      <c r="B57" s="120" t="str">
        <f>IF('印刷・FAX　発注書'!B56="","",'印刷・FAX　発注書'!B56)</f>
        <v/>
      </c>
      <c r="C57" s="121" t="e">
        <f>IF('印刷・FAX　発注書'!#REF!="","",'印刷・FAX　発注書'!#REF!)</f>
        <v>#REF!</v>
      </c>
      <c r="D57" s="121" t="e">
        <f>IF('印刷・FAX　発注書'!#REF!="","",'印刷・FAX　発注書'!#REF!)</f>
        <v>#REF!</v>
      </c>
      <c r="E57" s="121" t="str">
        <f>IF('印刷・FAX　発注書'!E56="","",'印刷・FAX　発注書'!E56)</f>
        <v/>
      </c>
      <c r="F57" s="121" t="str">
        <f>IF('印刷・FAX　発注書'!F56="","",'印刷・FAX　発注書'!F56)</f>
        <v/>
      </c>
      <c r="G57" s="121" t="str">
        <f>IF('印刷・FAX　発注書'!G56="","",'印刷・FAX　発注書'!G56)</f>
        <v/>
      </c>
      <c r="H57" s="132" t="str">
        <f>IF('印刷・FAX　発注書'!H56="","",'印刷・FAX　発注書'!H56)</f>
        <v/>
      </c>
      <c r="I57" s="133" t="str">
        <f t="shared" si="0"/>
        <v/>
      </c>
      <c r="J57" s="134">
        <v>1</v>
      </c>
      <c r="K57" s="134">
        <f t="shared" si="4"/>
        <v>0.72</v>
      </c>
      <c r="L57" s="135">
        <f>'印刷・FAX　発注書'!L56</f>
        <v>0.28000000000000003</v>
      </c>
      <c r="M57" s="132" t="str">
        <f>IF('印刷・FAX　発注書'!M56="","",'印刷・FAX　発注書'!M56)</f>
        <v/>
      </c>
      <c r="N57" s="50"/>
      <c r="O57" s="142">
        <f t="shared" si="5"/>
        <v>0</v>
      </c>
      <c r="P57" s="50"/>
      <c r="Q57" s="142">
        <f t="shared" ref="Q57:Q69" si="15">IFERROR($M57*P57,0)</f>
        <v>0</v>
      </c>
      <c r="R57" s="50"/>
      <c r="S57" s="142">
        <f t="shared" si="6"/>
        <v>0</v>
      </c>
      <c r="T57" s="48"/>
      <c r="U57" s="142">
        <f t="shared" si="7"/>
        <v>0</v>
      </c>
      <c r="V57" s="48"/>
      <c r="W57" s="142">
        <f t="shared" si="8"/>
        <v>0</v>
      </c>
      <c r="X57" s="48"/>
      <c r="Y57" s="142">
        <f t="shared" si="9"/>
        <v>0</v>
      </c>
      <c r="Z57" s="48"/>
      <c r="AA57" s="142">
        <f t="shared" si="10"/>
        <v>0</v>
      </c>
      <c r="AC57" s="88" t="str">
        <f t="shared" si="2"/>
        <v/>
      </c>
      <c r="AD57" s="60" t="str">
        <f t="shared" si="3"/>
        <v/>
      </c>
    </row>
    <row r="58" spans="1:30" ht="13.5" customHeight="1">
      <c r="A58" s="11">
        <v>46</v>
      </c>
      <c r="B58" s="120" t="str">
        <f>IF('印刷・FAX　発注書'!B57="","",'印刷・FAX　発注書'!B57)</f>
        <v/>
      </c>
      <c r="C58" s="121" t="e">
        <f>IF('印刷・FAX　発注書'!#REF!="","",'印刷・FAX　発注書'!#REF!)</f>
        <v>#REF!</v>
      </c>
      <c r="D58" s="121" t="e">
        <f>IF('印刷・FAX　発注書'!#REF!="","",'印刷・FAX　発注書'!#REF!)</f>
        <v>#REF!</v>
      </c>
      <c r="E58" s="121" t="str">
        <f>IF('印刷・FAX　発注書'!E57="","",'印刷・FAX　発注書'!E57)</f>
        <v/>
      </c>
      <c r="F58" s="121" t="str">
        <f>IF('印刷・FAX　発注書'!F57="","",'印刷・FAX　発注書'!F57)</f>
        <v/>
      </c>
      <c r="G58" s="121" t="str">
        <f>IF('印刷・FAX　発注書'!G57="","",'印刷・FAX　発注書'!G57)</f>
        <v/>
      </c>
      <c r="H58" s="132" t="str">
        <f>IF('印刷・FAX　発注書'!H57="","",'印刷・FAX　発注書'!H57)</f>
        <v/>
      </c>
      <c r="I58" s="133" t="str">
        <f t="shared" si="0"/>
        <v/>
      </c>
      <c r="J58" s="134">
        <v>1</v>
      </c>
      <c r="K58" s="134">
        <f t="shared" si="4"/>
        <v>0.72</v>
      </c>
      <c r="L58" s="135">
        <f>'印刷・FAX　発注書'!L57</f>
        <v>0.28000000000000003</v>
      </c>
      <c r="M58" s="132" t="str">
        <f>IF('印刷・FAX　発注書'!M57="","",'印刷・FAX　発注書'!M57)</f>
        <v/>
      </c>
      <c r="N58" s="50"/>
      <c r="O58" s="142">
        <f t="shared" si="5"/>
        <v>0</v>
      </c>
      <c r="P58" s="50"/>
      <c r="Q58" s="142">
        <f t="shared" si="15"/>
        <v>0</v>
      </c>
      <c r="R58" s="50"/>
      <c r="S58" s="142">
        <f t="shared" si="6"/>
        <v>0</v>
      </c>
      <c r="T58" s="48"/>
      <c r="U58" s="142">
        <f t="shared" si="7"/>
        <v>0</v>
      </c>
      <c r="V58" s="48"/>
      <c r="W58" s="142">
        <f t="shared" si="8"/>
        <v>0</v>
      </c>
      <c r="X58" s="48"/>
      <c r="Y58" s="142">
        <f t="shared" si="9"/>
        <v>0</v>
      </c>
      <c r="Z58" s="48"/>
      <c r="AA58" s="142">
        <f t="shared" si="10"/>
        <v>0</v>
      </c>
      <c r="AC58" s="88" t="str">
        <f t="shared" si="2"/>
        <v/>
      </c>
      <c r="AD58" s="60" t="str">
        <f t="shared" si="3"/>
        <v/>
      </c>
    </row>
    <row r="59" spans="1:30" ht="13.5" customHeight="1">
      <c r="A59" s="11">
        <v>47</v>
      </c>
      <c r="B59" s="120" t="str">
        <f>IF('印刷・FAX　発注書'!B58="","",'印刷・FAX　発注書'!B58)</f>
        <v/>
      </c>
      <c r="C59" s="121" t="e">
        <f>IF('印刷・FAX　発注書'!#REF!="","",'印刷・FAX　発注書'!#REF!)</f>
        <v>#REF!</v>
      </c>
      <c r="D59" s="121" t="e">
        <f>IF('印刷・FAX　発注書'!#REF!="","",'印刷・FAX　発注書'!#REF!)</f>
        <v>#REF!</v>
      </c>
      <c r="E59" s="121" t="str">
        <f>IF('印刷・FAX　発注書'!E58="","",'印刷・FAX　発注書'!E58)</f>
        <v/>
      </c>
      <c r="F59" s="121" t="str">
        <f>IF('印刷・FAX　発注書'!F58="","",'印刷・FAX　発注書'!F58)</f>
        <v/>
      </c>
      <c r="G59" s="121" t="str">
        <f>IF('印刷・FAX　発注書'!G58="","",'印刷・FAX　発注書'!G58)</f>
        <v/>
      </c>
      <c r="H59" s="132" t="str">
        <f>IF('印刷・FAX　発注書'!H58="","",'印刷・FAX　発注書'!H58)</f>
        <v/>
      </c>
      <c r="I59" s="133" t="str">
        <f t="shared" si="0"/>
        <v/>
      </c>
      <c r="J59" s="134">
        <v>1</v>
      </c>
      <c r="K59" s="134">
        <f t="shared" si="4"/>
        <v>0.72</v>
      </c>
      <c r="L59" s="135">
        <f>'印刷・FAX　発注書'!L58</f>
        <v>0.28000000000000003</v>
      </c>
      <c r="M59" s="132" t="str">
        <f>IF('印刷・FAX　発注書'!M58="","",'印刷・FAX　発注書'!M58)</f>
        <v/>
      </c>
      <c r="N59" s="50"/>
      <c r="O59" s="142">
        <f t="shared" si="5"/>
        <v>0</v>
      </c>
      <c r="P59" s="50"/>
      <c r="Q59" s="142">
        <f t="shared" si="15"/>
        <v>0</v>
      </c>
      <c r="R59" s="50"/>
      <c r="S59" s="142">
        <f t="shared" si="6"/>
        <v>0</v>
      </c>
      <c r="T59" s="48"/>
      <c r="U59" s="142">
        <f t="shared" si="7"/>
        <v>0</v>
      </c>
      <c r="V59" s="48"/>
      <c r="W59" s="142">
        <f t="shared" si="8"/>
        <v>0</v>
      </c>
      <c r="X59" s="48"/>
      <c r="Y59" s="142">
        <f t="shared" si="9"/>
        <v>0</v>
      </c>
      <c r="Z59" s="48"/>
      <c r="AA59" s="142">
        <f t="shared" si="10"/>
        <v>0</v>
      </c>
      <c r="AC59" s="88" t="str">
        <f t="shared" si="2"/>
        <v/>
      </c>
      <c r="AD59" s="60" t="str">
        <f t="shared" si="3"/>
        <v/>
      </c>
    </row>
    <row r="60" spans="1:30" ht="13.5" customHeight="1">
      <c r="A60" s="11">
        <v>48</v>
      </c>
      <c r="B60" s="120" t="str">
        <f>IF('印刷・FAX　発注書'!B59="","",'印刷・FAX　発注書'!B59)</f>
        <v/>
      </c>
      <c r="C60" s="121" t="e">
        <f>IF('印刷・FAX　発注書'!#REF!="","",'印刷・FAX　発注書'!#REF!)</f>
        <v>#REF!</v>
      </c>
      <c r="D60" s="121" t="e">
        <f>IF('印刷・FAX　発注書'!#REF!="","",'印刷・FAX　発注書'!#REF!)</f>
        <v>#REF!</v>
      </c>
      <c r="E60" s="121" t="str">
        <f>IF('印刷・FAX　発注書'!E59="","",'印刷・FAX　発注書'!E59)</f>
        <v/>
      </c>
      <c r="F60" s="121" t="str">
        <f>IF('印刷・FAX　発注書'!F59="","",'印刷・FAX　発注書'!F59)</f>
        <v/>
      </c>
      <c r="G60" s="121" t="str">
        <f>IF('印刷・FAX　発注書'!G59="","",'印刷・FAX　発注書'!G59)</f>
        <v/>
      </c>
      <c r="H60" s="132" t="str">
        <f>IF('印刷・FAX　発注書'!H59="","",'印刷・FAX　発注書'!H59)</f>
        <v/>
      </c>
      <c r="I60" s="133" t="str">
        <f t="shared" si="0"/>
        <v/>
      </c>
      <c r="J60" s="134">
        <v>1</v>
      </c>
      <c r="K60" s="134">
        <f t="shared" ref="K60:K61" si="16">J60-L60</f>
        <v>0.72</v>
      </c>
      <c r="L60" s="135">
        <f>'印刷・FAX　発注書'!L59</f>
        <v>0.28000000000000003</v>
      </c>
      <c r="M60" s="132" t="str">
        <f>IF('印刷・FAX　発注書'!M59="","",'印刷・FAX　発注書'!M59)</f>
        <v/>
      </c>
      <c r="N60" s="50"/>
      <c r="O60" s="142">
        <f t="shared" si="5"/>
        <v>0</v>
      </c>
      <c r="P60" s="50"/>
      <c r="Q60" s="142">
        <f t="shared" si="15"/>
        <v>0</v>
      </c>
      <c r="R60" s="50"/>
      <c r="S60" s="142">
        <f t="shared" si="6"/>
        <v>0</v>
      </c>
      <c r="T60" s="48"/>
      <c r="U60" s="142">
        <f t="shared" si="7"/>
        <v>0</v>
      </c>
      <c r="V60" s="48"/>
      <c r="W60" s="142">
        <f t="shared" si="8"/>
        <v>0</v>
      </c>
      <c r="X60" s="48"/>
      <c r="Y60" s="142">
        <f t="shared" si="9"/>
        <v>0</v>
      </c>
      <c r="Z60" s="48"/>
      <c r="AA60" s="142">
        <f t="shared" si="10"/>
        <v>0</v>
      </c>
      <c r="AC60" s="88" t="str">
        <f t="shared" si="2"/>
        <v/>
      </c>
      <c r="AD60" s="60" t="str">
        <f t="shared" si="3"/>
        <v/>
      </c>
    </row>
    <row r="61" spans="1:30" ht="13.5" customHeight="1">
      <c r="A61" s="11">
        <v>49</v>
      </c>
      <c r="B61" s="120" t="str">
        <f>IF('印刷・FAX　発注書'!B60="","",'印刷・FAX　発注書'!B60)</f>
        <v/>
      </c>
      <c r="C61" s="121" t="e">
        <f>IF('印刷・FAX　発注書'!#REF!="","",'印刷・FAX　発注書'!#REF!)</f>
        <v>#REF!</v>
      </c>
      <c r="D61" s="121" t="e">
        <f>IF('印刷・FAX　発注書'!#REF!="","",'印刷・FAX　発注書'!#REF!)</f>
        <v>#REF!</v>
      </c>
      <c r="E61" s="121" t="str">
        <f>IF('印刷・FAX　発注書'!E60="","",'印刷・FAX　発注書'!E60)</f>
        <v/>
      </c>
      <c r="F61" s="121" t="str">
        <f>IF('印刷・FAX　発注書'!F60="","",'印刷・FAX　発注書'!F60)</f>
        <v/>
      </c>
      <c r="G61" s="121" t="str">
        <f>IF('印刷・FAX　発注書'!G60="","",'印刷・FAX　発注書'!G60)</f>
        <v/>
      </c>
      <c r="H61" s="132" t="str">
        <f>IF('印刷・FAX　発注書'!H60="","",'印刷・FAX　発注書'!H60)</f>
        <v/>
      </c>
      <c r="I61" s="133" t="str">
        <f t="shared" si="0"/>
        <v/>
      </c>
      <c r="J61" s="134">
        <v>1</v>
      </c>
      <c r="K61" s="134">
        <f t="shared" si="16"/>
        <v>0.72</v>
      </c>
      <c r="L61" s="135">
        <f>'印刷・FAX　発注書'!L60</f>
        <v>0.28000000000000003</v>
      </c>
      <c r="M61" s="132" t="str">
        <f>IF('印刷・FAX　発注書'!M60="","",'印刷・FAX　発注書'!M60)</f>
        <v/>
      </c>
      <c r="N61" s="50"/>
      <c r="O61" s="142">
        <f t="shared" si="5"/>
        <v>0</v>
      </c>
      <c r="P61" s="50"/>
      <c r="Q61" s="142">
        <f t="shared" si="15"/>
        <v>0</v>
      </c>
      <c r="R61" s="50"/>
      <c r="S61" s="142">
        <f t="shared" si="6"/>
        <v>0</v>
      </c>
      <c r="T61" s="48"/>
      <c r="U61" s="142">
        <f t="shared" si="7"/>
        <v>0</v>
      </c>
      <c r="V61" s="48"/>
      <c r="W61" s="142">
        <f t="shared" si="8"/>
        <v>0</v>
      </c>
      <c r="X61" s="48"/>
      <c r="Y61" s="142">
        <f t="shared" si="9"/>
        <v>0</v>
      </c>
      <c r="Z61" s="48"/>
      <c r="AA61" s="142">
        <f t="shared" si="10"/>
        <v>0</v>
      </c>
      <c r="AC61" s="88" t="str">
        <f t="shared" si="2"/>
        <v/>
      </c>
      <c r="AD61" s="60" t="str">
        <f t="shared" si="3"/>
        <v/>
      </c>
    </row>
    <row r="62" spans="1:30" ht="13.5" customHeight="1">
      <c r="A62" s="11">
        <v>50</v>
      </c>
      <c r="B62" s="120" t="str">
        <f>IF('印刷・FAX　発注書'!B61="","",'印刷・FAX　発注書'!B61)</f>
        <v/>
      </c>
      <c r="C62" s="121" t="e">
        <f>IF('印刷・FAX　発注書'!#REF!="","",'印刷・FAX　発注書'!#REF!)</f>
        <v>#REF!</v>
      </c>
      <c r="D62" s="121" t="e">
        <f>IF('印刷・FAX　発注書'!#REF!="","",'印刷・FAX　発注書'!#REF!)</f>
        <v>#REF!</v>
      </c>
      <c r="E62" s="121" t="str">
        <f>IF('印刷・FAX　発注書'!E61="","",'印刷・FAX　発注書'!E61)</f>
        <v/>
      </c>
      <c r="F62" s="121" t="str">
        <f>IF('印刷・FAX　発注書'!F61="","",'印刷・FAX　発注書'!F61)</f>
        <v/>
      </c>
      <c r="G62" s="121" t="str">
        <f>IF('印刷・FAX　発注書'!G61="","",'印刷・FAX　発注書'!G61)</f>
        <v/>
      </c>
      <c r="H62" s="132" t="str">
        <f>IF('印刷・FAX　発注書'!H61="","",'印刷・FAX　発注書'!H61)</f>
        <v/>
      </c>
      <c r="I62" s="133" t="str">
        <f t="shared" si="0"/>
        <v/>
      </c>
      <c r="J62" s="134">
        <v>1</v>
      </c>
      <c r="K62" s="134">
        <f t="shared" si="4"/>
        <v>0.72</v>
      </c>
      <c r="L62" s="135">
        <f>'印刷・FAX　発注書'!L61</f>
        <v>0.28000000000000003</v>
      </c>
      <c r="M62" s="132" t="str">
        <f>IF('印刷・FAX　発注書'!M61="","",'印刷・FAX　発注書'!M61)</f>
        <v/>
      </c>
      <c r="N62" s="50"/>
      <c r="O62" s="142">
        <f t="shared" si="5"/>
        <v>0</v>
      </c>
      <c r="P62" s="50"/>
      <c r="Q62" s="142">
        <f t="shared" si="15"/>
        <v>0</v>
      </c>
      <c r="R62" s="50"/>
      <c r="S62" s="142">
        <f t="shared" si="6"/>
        <v>0</v>
      </c>
      <c r="T62" s="48"/>
      <c r="U62" s="142">
        <f t="shared" si="7"/>
        <v>0</v>
      </c>
      <c r="V62" s="48"/>
      <c r="W62" s="142">
        <f t="shared" si="8"/>
        <v>0</v>
      </c>
      <c r="X62" s="48"/>
      <c r="Y62" s="142">
        <f t="shared" si="9"/>
        <v>0</v>
      </c>
      <c r="Z62" s="48"/>
      <c r="AA62" s="142">
        <f t="shared" si="10"/>
        <v>0</v>
      </c>
      <c r="AC62" s="88" t="str">
        <f t="shared" si="2"/>
        <v/>
      </c>
      <c r="AD62" s="60" t="str">
        <f t="shared" si="3"/>
        <v/>
      </c>
    </row>
    <row r="63" spans="1:30" ht="13.5" customHeight="1">
      <c r="A63" s="11">
        <v>51</v>
      </c>
      <c r="B63" s="120" t="str">
        <f>IF('印刷・FAX　発注書'!B57="","",'印刷・FAX　発注書'!B57)</f>
        <v/>
      </c>
      <c r="C63" s="121" t="str">
        <f>IF('印刷・FAX　発注書'!C57="","",'印刷・FAX　発注書'!C57)</f>
        <v/>
      </c>
      <c r="D63" s="121" t="str">
        <f>IF('印刷・FAX　発注書'!D57="","",'印刷・FAX　発注書'!D57)</f>
        <v/>
      </c>
      <c r="E63" s="121" t="str">
        <f>IF('印刷・FAX　発注書'!E62="","",'印刷・FAX　発注書'!E62)</f>
        <v/>
      </c>
      <c r="F63" s="121" t="str">
        <f>IF('印刷・FAX　発注書'!F62="","",'印刷・FAX　発注書'!F62)</f>
        <v/>
      </c>
      <c r="G63" s="121" t="str">
        <f>IF('印刷・FAX　発注書'!G62="","",'印刷・FAX　発注書'!G62)</f>
        <v/>
      </c>
      <c r="H63" s="132" t="str">
        <f>IF('印刷・FAX　発注書'!H62="","",'印刷・FAX　発注書'!H62)</f>
        <v/>
      </c>
      <c r="I63" s="133" t="str">
        <f t="shared" si="0"/>
        <v/>
      </c>
      <c r="J63" s="134">
        <v>1</v>
      </c>
      <c r="K63" s="134">
        <f t="shared" ref="K63:K68" si="17">J63-L63</f>
        <v>0.72</v>
      </c>
      <c r="L63" s="135">
        <f>'印刷・FAX　発注書'!L62</f>
        <v>0.28000000000000003</v>
      </c>
      <c r="M63" s="132" t="str">
        <f>IF('印刷・FAX　発注書'!M62="","",'印刷・FAX　発注書'!M62)</f>
        <v/>
      </c>
      <c r="N63" s="50"/>
      <c r="O63" s="142">
        <f t="shared" si="5"/>
        <v>0</v>
      </c>
      <c r="P63" s="50"/>
      <c r="Q63" s="142">
        <f t="shared" si="15"/>
        <v>0</v>
      </c>
      <c r="R63" s="50"/>
      <c r="S63" s="142">
        <f t="shared" si="6"/>
        <v>0</v>
      </c>
      <c r="T63" s="48"/>
      <c r="U63" s="142">
        <f t="shared" si="7"/>
        <v>0</v>
      </c>
      <c r="V63" s="48"/>
      <c r="W63" s="142">
        <f t="shared" si="8"/>
        <v>0</v>
      </c>
      <c r="X63" s="48"/>
      <c r="Y63" s="142">
        <f t="shared" si="9"/>
        <v>0</v>
      </c>
      <c r="Z63" s="48"/>
      <c r="AA63" s="142">
        <f t="shared" si="10"/>
        <v>0</v>
      </c>
      <c r="AC63" s="88" t="str">
        <f t="shared" si="2"/>
        <v/>
      </c>
      <c r="AD63" s="60" t="str">
        <f t="shared" si="3"/>
        <v/>
      </c>
    </row>
    <row r="64" spans="1:30" ht="13.5" customHeight="1">
      <c r="A64" s="11">
        <v>52</v>
      </c>
      <c r="B64" s="120" t="str">
        <f>IF('印刷・FAX　発注書'!B58="","",'印刷・FAX　発注書'!B58)</f>
        <v/>
      </c>
      <c r="C64" s="121" t="str">
        <f>IF('印刷・FAX　発注書'!C58="","",'印刷・FAX　発注書'!C58)</f>
        <v/>
      </c>
      <c r="D64" s="121" t="str">
        <f>IF('印刷・FAX　発注書'!D58="","",'印刷・FAX　発注書'!D58)</f>
        <v/>
      </c>
      <c r="E64" s="121" t="str">
        <f>IF('印刷・FAX　発注書'!E63="","",'印刷・FAX　発注書'!E63)</f>
        <v/>
      </c>
      <c r="F64" s="121" t="str">
        <f>IF('印刷・FAX　発注書'!F63="","",'印刷・FAX　発注書'!F63)</f>
        <v/>
      </c>
      <c r="G64" s="121" t="str">
        <f>IF('印刷・FAX　発注書'!G63="","",'印刷・FAX　発注書'!G63)</f>
        <v/>
      </c>
      <c r="H64" s="132" t="str">
        <f>IF('印刷・FAX　発注書'!H63="","",'印刷・FAX　発注書'!H63)</f>
        <v/>
      </c>
      <c r="I64" s="133" t="str">
        <f t="shared" si="0"/>
        <v/>
      </c>
      <c r="J64" s="134">
        <v>1</v>
      </c>
      <c r="K64" s="134">
        <f t="shared" si="17"/>
        <v>0.72</v>
      </c>
      <c r="L64" s="135">
        <f>'印刷・FAX　発注書'!L63</f>
        <v>0.28000000000000003</v>
      </c>
      <c r="M64" s="132" t="str">
        <f>IF('印刷・FAX　発注書'!M63="","",'印刷・FAX　発注書'!M63)</f>
        <v/>
      </c>
      <c r="N64" s="50"/>
      <c r="O64" s="142">
        <f t="shared" si="5"/>
        <v>0</v>
      </c>
      <c r="P64" s="50"/>
      <c r="Q64" s="142">
        <f t="shared" si="15"/>
        <v>0</v>
      </c>
      <c r="R64" s="50"/>
      <c r="S64" s="142">
        <f t="shared" si="6"/>
        <v>0</v>
      </c>
      <c r="T64" s="48"/>
      <c r="U64" s="142">
        <f t="shared" si="7"/>
        <v>0</v>
      </c>
      <c r="V64" s="48"/>
      <c r="W64" s="142">
        <f t="shared" si="8"/>
        <v>0</v>
      </c>
      <c r="X64" s="48"/>
      <c r="Y64" s="142">
        <f t="shared" si="9"/>
        <v>0</v>
      </c>
      <c r="Z64" s="48"/>
      <c r="AA64" s="142">
        <f t="shared" si="10"/>
        <v>0</v>
      </c>
      <c r="AC64" s="88" t="str">
        <f t="shared" si="2"/>
        <v/>
      </c>
      <c r="AD64" s="60" t="str">
        <f t="shared" si="3"/>
        <v/>
      </c>
    </row>
    <row r="65" spans="1:30" ht="13.5" customHeight="1">
      <c r="A65" s="11">
        <v>53</v>
      </c>
      <c r="B65" s="120" t="str">
        <f>IF('印刷・FAX　発注書'!B59="","",'印刷・FAX　発注書'!B59)</f>
        <v/>
      </c>
      <c r="C65" s="121" t="str">
        <f>IF('印刷・FAX　発注書'!C59="","",'印刷・FAX　発注書'!C59)</f>
        <v/>
      </c>
      <c r="D65" s="121" t="str">
        <f>IF('印刷・FAX　発注書'!D59="","",'印刷・FAX　発注書'!D59)</f>
        <v/>
      </c>
      <c r="E65" s="121" t="str">
        <f>IF('印刷・FAX　発注書'!E64="","",'印刷・FAX　発注書'!E64)</f>
        <v/>
      </c>
      <c r="F65" s="121" t="str">
        <f>IF('印刷・FAX　発注書'!F64="","",'印刷・FAX　発注書'!F64)</f>
        <v/>
      </c>
      <c r="G65" s="121" t="str">
        <f>IF('印刷・FAX　発注書'!G64="","",'印刷・FAX　発注書'!G64)</f>
        <v/>
      </c>
      <c r="H65" s="132" t="str">
        <f>IF('印刷・FAX　発注書'!H64="","",'印刷・FAX　発注書'!H64)</f>
        <v/>
      </c>
      <c r="I65" s="133" t="str">
        <f t="shared" si="0"/>
        <v/>
      </c>
      <c r="J65" s="134">
        <v>1</v>
      </c>
      <c r="K65" s="134">
        <f t="shared" si="17"/>
        <v>0.72</v>
      </c>
      <c r="L65" s="135">
        <f>'印刷・FAX　発注書'!L64</f>
        <v>0.28000000000000003</v>
      </c>
      <c r="M65" s="132" t="str">
        <f>IF('印刷・FAX　発注書'!M64="","",'印刷・FAX　発注書'!M64)</f>
        <v/>
      </c>
      <c r="N65" s="50"/>
      <c r="O65" s="142">
        <f t="shared" si="5"/>
        <v>0</v>
      </c>
      <c r="P65" s="50"/>
      <c r="Q65" s="142">
        <f t="shared" si="15"/>
        <v>0</v>
      </c>
      <c r="R65" s="50"/>
      <c r="S65" s="142">
        <f t="shared" si="6"/>
        <v>0</v>
      </c>
      <c r="T65" s="48"/>
      <c r="U65" s="142">
        <f t="shared" si="7"/>
        <v>0</v>
      </c>
      <c r="V65" s="48"/>
      <c r="W65" s="142">
        <f t="shared" si="8"/>
        <v>0</v>
      </c>
      <c r="X65" s="48"/>
      <c r="Y65" s="142">
        <f t="shared" si="9"/>
        <v>0</v>
      </c>
      <c r="Z65" s="48"/>
      <c r="AA65" s="142">
        <f t="shared" si="10"/>
        <v>0</v>
      </c>
      <c r="AC65" s="88" t="str">
        <f t="shared" si="2"/>
        <v/>
      </c>
      <c r="AD65" s="60" t="str">
        <f t="shared" si="3"/>
        <v/>
      </c>
    </row>
    <row r="66" spans="1:30" ht="13.5" customHeight="1">
      <c r="A66" s="11">
        <v>54</v>
      </c>
      <c r="B66" s="120" t="str">
        <f>IF('印刷・FAX　発注書'!B60="","",'印刷・FAX　発注書'!B60)</f>
        <v/>
      </c>
      <c r="C66" s="121" t="str">
        <f>IF('印刷・FAX　発注書'!C60="","",'印刷・FAX　発注書'!C60)</f>
        <v/>
      </c>
      <c r="D66" s="121" t="str">
        <f>IF('印刷・FAX　発注書'!D60="","",'印刷・FAX　発注書'!D60)</f>
        <v/>
      </c>
      <c r="E66" s="121" t="str">
        <f>IF('印刷・FAX　発注書'!E65="","",'印刷・FAX　発注書'!E65)</f>
        <v/>
      </c>
      <c r="F66" s="121" t="str">
        <f>IF('印刷・FAX　発注書'!F65="","",'印刷・FAX　発注書'!F65)</f>
        <v/>
      </c>
      <c r="G66" s="121" t="str">
        <f>IF('印刷・FAX　発注書'!G65="","",'印刷・FAX　発注書'!G65)</f>
        <v/>
      </c>
      <c r="H66" s="132" t="str">
        <f>IF('印刷・FAX　発注書'!H65="","",'印刷・FAX　発注書'!H65)</f>
        <v/>
      </c>
      <c r="I66" s="133" t="str">
        <f t="shared" si="0"/>
        <v/>
      </c>
      <c r="J66" s="134">
        <v>1</v>
      </c>
      <c r="K66" s="134">
        <f t="shared" si="17"/>
        <v>1</v>
      </c>
      <c r="L66" s="135">
        <f>'印刷・FAX　発注書'!L65</f>
        <v>0</v>
      </c>
      <c r="M66" s="132" t="str">
        <f>IF('印刷・FAX　発注書'!M65="","",'印刷・FAX　発注書'!M65)</f>
        <v/>
      </c>
      <c r="N66" s="50"/>
      <c r="O66" s="142">
        <f t="shared" si="5"/>
        <v>0</v>
      </c>
      <c r="P66" s="48"/>
      <c r="Q66" s="142">
        <f>IFERROR($M66*#REF!,0)</f>
        <v>0</v>
      </c>
      <c r="R66" s="50"/>
      <c r="S66" s="142">
        <f t="shared" si="6"/>
        <v>0</v>
      </c>
      <c r="T66" s="48"/>
      <c r="U66" s="142">
        <f t="shared" si="7"/>
        <v>0</v>
      </c>
      <c r="V66" s="48"/>
      <c r="W66" s="142">
        <f t="shared" si="8"/>
        <v>0</v>
      </c>
      <c r="X66" s="48"/>
      <c r="Y66" s="142">
        <f t="shared" si="9"/>
        <v>0</v>
      </c>
      <c r="Z66" s="48"/>
      <c r="AA66" s="142">
        <f t="shared" si="10"/>
        <v>0</v>
      </c>
      <c r="AC66" s="88" t="str">
        <f>IFERROR((N66+#REF!+R66)*M66,"")</f>
        <v/>
      </c>
      <c r="AD66" s="60" t="str">
        <f t="shared" si="3"/>
        <v/>
      </c>
    </row>
    <row r="67" spans="1:30" ht="13.5" hidden="1" customHeight="1">
      <c r="A67" s="11">
        <v>55</v>
      </c>
      <c r="B67" s="11"/>
      <c r="C67" s="121" t="str">
        <f>IF('印刷・FAX　発注書'!C61="","",'印刷・FAX　発注書'!C61)</f>
        <v/>
      </c>
      <c r="D67" s="121" t="str">
        <f>IF('印刷・FAX　発注書'!D61="","",'印刷・FAX　発注書'!D61)</f>
        <v/>
      </c>
      <c r="E67" s="121" t="str">
        <f>IF('印刷・FAX　発注書'!E66="","",'印刷・FAX　発注書'!E66)</f>
        <v/>
      </c>
      <c r="F67" s="121" t="str">
        <f>IF('印刷・FAX　発注書'!F66="","",'印刷・FAX　発注書'!F66)</f>
        <v/>
      </c>
      <c r="G67" s="121" t="str">
        <f>IF('印刷・FAX　発注書'!G66="","",'印刷・FAX　発注書'!G66)</f>
        <v xml:space="preserve">🍅  旬ベジ情報  🍅 </v>
      </c>
      <c r="H67" s="132" t="str">
        <f>IF('印刷・FAX　発注書'!H66="","",'印刷・FAX　発注書'!H66)</f>
        <v/>
      </c>
      <c r="I67" s="133" t="str">
        <f t="shared" si="0"/>
        <v/>
      </c>
      <c r="J67" s="99">
        <v>1</v>
      </c>
      <c r="K67" s="99">
        <f t="shared" si="17"/>
        <v>1</v>
      </c>
      <c r="L67" s="135">
        <f>'印刷・FAX　発注書'!L66</f>
        <v>0</v>
      </c>
      <c r="M67" s="63"/>
      <c r="N67" s="50"/>
      <c r="O67" s="140"/>
      <c r="P67" s="50"/>
      <c r="Q67" s="142">
        <f t="shared" si="15"/>
        <v>0</v>
      </c>
      <c r="R67" s="50"/>
      <c r="S67" s="142">
        <f t="shared" si="6"/>
        <v>0</v>
      </c>
      <c r="T67" s="50"/>
      <c r="U67" s="142">
        <f t="shared" si="7"/>
        <v>0</v>
      </c>
      <c r="V67" s="50"/>
      <c r="W67" s="142">
        <f t="shared" si="8"/>
        <v>0</v>
      </c>
      <c r="X67" s="50"/>
      <c r="Y67" s="142">
        <f t="shared" si="9"/>
        <v>0</v>
      </c>
      <c r="Z67" s="50"/>
      <c r="AA67" s="142">
        <f t="shared" si="10"/>
        <v>0</v>
      </c>
      <c r="AC67" s="88">
        <f t="shared" si="2"/>
        <v>0</v>
      </c>
      <c r="AD67" s="60" t="str">
        <f t="shared" ref="AD67:AD69" si="18">IFERROR(I67*AC67,"")</f>
        <v/>
      </c>
    </row>
    <row r="68" spans="1:30" ht="13.5" hidden="1" customHeight="1">
      <c r="A68" s="11">
        <v>56</v>
      </c>
      <c r="B68" s="11"/>
      <c r="C68" s="121" t="str">
        <f>IF('印刷・FAX　発注書'!C62="","",'印刷・FAX　発注書'!C62)</f>
        <v/>
      </c>
      <c r="D68" s="121" t="str">
        <f>IF('印刷・FAX　発注書'!D62="","",'印刷・FAX　発注書'!D62)</f>
        <v/>
      </c>
      <c r="E68" s="121" t="str">
        <f>IF('印刷・FAX　発注書'!E67="","",'印刷・FAX　発注書'!E67)</f>
        <v/>
      </c>
      <c r="F68" s="121" t="str">
        <f>IF('印刷・FAX　発注書'!F67="","",'印刷・FAX　発注書'!F67)</f>
        <v/>
      </c>
      <c r="G68" s="121" t="str">
        <f>IF('印刷・FAX　発注書'!G67="","",'印刷・FAX　発注書'!G67)</f>
        <v>いつもお世話になっております。ありがとうございます。</v>
      </c>
      <c r="H68" s="132" t="str">
        <f>IF('印刷・FAX　発注書'!H67="","",'印刷・FAX　発注書'!H67)</f>
        <v/>
      </c>
      <c r="I68" s="133" t="str">
        <f t="shared" si="0"/>
        <v/>
      </c>
      <c r="J68" s="99">
        <v>1</v>
      </c>
      <c r="K68" s="99">
        <f t="shared" si="17"/>
        <v>1</v>
      </c>
      <c r="L68" s="135">
        <f>'印刷・FAX　発注書'!L67</f>
        <v>0</v>
      </c>
      <c r="M68" s="63"/>
      <c r="N68" s="50"/>
      <c r="O68" s="140"/>
      <c r="P68" s="50"/>
      <c r="Q68" s="142">
        <f t="shared" si="15"/>
        <v>0</v>
      </c>
      <c r="R68" s="50"/>
      <c r="S68" s="142">
        <f t="shared" si="6"/>
        <v>0</v>
      </c>
      <c r="T68" s="50"/>
      <c r="U68" s="142">
        <f t="shared" si="7"/>
        <v>0</v>
      </c>
      <c r="V68" s="50"/>
      <c r="W68" s="142">
        <f t="shared" si="8"/>
        <v>0</v>
      </c>
      <c r="X68" s="50"/>
      <c r="Y68" s="142">
        <f t="shared" si="9"/>
        <v>0</v>
      </c>
      <c r="Z68" s="50"/>
      <c r="AA68" s="142">
        <f t="shared" si="10"/>
        <v>0</v>
      </c>
      <c r="AC68" s="88">
        <f t="shared" si="2"/>
        <v>0</v>
      </c>
      <c r="AD68" s="60" t="str">
        <f t="shared" si="18"/>
        <v/>
      </c>
    </row>
    <row r="69" spans="1:30" ht="13.5" hidden="1" customHeight="1">
      <c r="A69" s="11">
        <v>57</v>
      </c>
      <c r="B69" s="11"/>
      <c r="C69" s="121" t="str">
        <f>IF('印刷・FAX　発注書'!C63="","",'印刷・FAX　発注書'!C63)</f>
        <v/>
      </c>
      <c r="D69" s="121" t="str">
        <f>IF('印刷・FAX　発注書'!D63="","",'印刷・FAX　発注書'!D63)</f>
        <v/>
      </c>
      <c r="E69" s="121" t="str">
        <f>IF('印刷・FAX　発注書'!E68="","",'印刷・FAX　発注書'!E68)</f>
        <v/>
      </c>
      <c r="F69" s="121" t="str">
        <f>IF('印刷・FAX　発注書'!F68="","",'印刷・FAX　発注書'!F68)</f>
        <v/>
      </c>
      <c r="G69" s="121" t="str">
        <f>IF('印刷・FAX　発注書'!G68="","",'印刷・FAX　発注書'!G68)</f>
        <v>今週もどうぞよろしくお願いいたします。</v>
      </c>
      <c r="H69" s="132" t="str">
        <f>IF('印刷・FAX　発注書'!H68="","",'印刷・FAX　発注書'!H68)</f>
        <v/>
      </c>
      <c r="I69" s="133" t="str">
        <f t="shared" si="0"/>
        <v/>
      </c>
      <c r="J69" s="99">
        <v>1</v>
      </c>
      <c r="K69" s="99">
        <f t="shared" si="4"/>
        <v>1</v>
      </c>
      <c r="L69" s="135">
        <f>'印刷・FAX　発注書'!L68</f>
        <v>0</v>
      </c>
      <c r="M69" s="63"/>
      <c r="N69" s="50"/>
      <c r="O69" s="140"/>
      <c r="P69" s="50"/>
      <c r="Q69" s="142">
        <f t="shared" si="15"/>
        <v>0</v>
      </c>
      <c r="R69" s="50"/>
      <c r="S69" s="142">
        <f t="shared" si="6"/>
        <v>0</v>
      </c>
      <c r="T69" s="50"/>
      <c r="U69" s="142">
        <f t="shared" si="7"/>
        <v>0</v>
      </c>
      <c r="V69" s="50"/>
      <c r="W69" s="142">
        <f t="shared" si="8"/>
        <v>0</v>
      </c>
      <c r="X69" s="50"/>
      <c r="Y69" s="142">
        <f t="shared" si="9"/>
        <v>0</v>
      </c>
      <c r="Z69" s="50"/>
      <c r="AA69" s="142">
        <f t="shared" si="10"/>
        <v>0</v>
      </c>
      <c r="AC69" s="88">
        <f t="shared" si="2"/>
        <v>0</v>
      </c>
      <c r="AD69" s="60" t="str">
        <f t="shared" si="18"/>
        <v/>
      </c>
    </row>
    <row r="70" spans="1:30" ht="13.5" hidden="1" customHeight="1">
      <c r="A70" s="11">
        <v>58</v>
      </c>
      <c r="B70" s="11" t="s">
        <v>70</v>
      </c>
      <c r="C70" s="11"/>
      <c r="D70" s="121" t="str">
        <f>IF('印刷・FAX　発注書'!D64="","",'印刷・FAX　発注書'!D64)</f>
        <v/>
      </c>
      <c r="E70" s="121" t="str">
        <f>IF('印刷・FAX　発注書'!E64="","",'印刷・FAX　発注書'!E64)</f>
        <v/>
      </c>
      <c r="F70" s="121" t="str">
        <f>IF('印刷・FAX　発注書'!F64="","",'印刷・FAX　発注書'!F64)</f>
        <v/>
      </c>
      <c r="G70" s="122" t="str">
        <f>IF('印刷・FAX　発注書'!G64="","",'印刷・FAX　発注書'!G64)</f>
        <v/>
      </c>
      <c r="H70" s="123" t="str">
        <f>IF('印刷・FAX　発注書'!H64="","",'印刷・FAX　発注書'!H64)</f>
        <v/>
      </c>
      <c r="I70" s="62">
        <v>0</v>
      </c>
      <c r="J70" s="62"/>
      <c r="K70" s="62"/>
      <c r="L70" s="63" t="str">
        <f t="shared" ref="L70" si="19">IF(ISERROR(1-I70/H70),"",(1-I70/H70))</f>
        <v/>
      </c>
      <c r="M70" s="63"/>
      <c r="N70" s="64">
        <f>IF(SUM(N13:N69)&lt;&gt;0,0,0)</f>
        <v>0</v>
      </c>
      <c r="O70" s="141"/>
      <c r="P70" s="64">
        <f>IF(SUM(P14:P69)&lt;&gt;0,0,0)</f>
        <v>0</v>
      </c>
      <c r="Q70" s="136">
        <f t="shared" ref="Q70" si="20">$M$13*P70</f>
        <v>0</v>
      </c>
      <c r="R70" s="64">
        <f t="shared" ref="R70:V70" si="21">IF(SUM(R13:R69)&lt;&gt;0,0,0)</f>
        <v>0</v>
      </c>
      <c r="S70" s="64"/>
      <c r="T70" s="64">
        <f t="shared" si="21"/>
        <v>0</v>
      </c>
      <c r="U70" s="64"/>
      <c r="V70" s="64">
        <f t="shared" si="21"/>
        <v>0</v>
      </c>
      <c r="W70" s="64"/>
      <c r="X70" s="64">
        <f t="shared" ref="X70" si="22">IF(SUM(X13:X69)&lt;&gt;0,0,0)</f>
        <v>0</v>
      </c>
      <c r="Y70" s="64"/>
      <c r="Z70" s="64">
        <f t="shared" ref="Z70" si="23">IF(SUM(Z13:Z69)&lt;&gt;0,0,0)</f>
        <v>0</v>
      </c>
      <c r="AA70" s="64"/>
      <c r="AB70" s="1"/>
      <c r="AC70" s="88">
        <f t="shared" si="2"/>
        <v>0</v>
      </c>
      <c r="AD70" s="60">
        <f t="shared" ref="AD70" si="24">I70*AC70</f>
        <v>0</v>
      </c>
    </row>
    <row r="71" spans="1:30" ht="14.25" customHeight="1">
      <c r="AC71" s="89"/>
      <c r="AD71" s="61">
        <f>SUM(AD13:AD70)</f>
        <v>3398</v>
      </c>
    </row>
  </sheetData>
  <sheetProtection sheet="1" selectLockedCells="1"/>
  <mergeCells count="2">
    <mergeCell ref="G8:L8"/>
    <mergeCell ref="E8:F8"/>
  </mergeCells>
  <phoneticPr fontId="2"/>
  <pageMargins left="0.51181102362204722" right="0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B79-DFBB-474B-8931-9FB6B7CF4BD5}">
  <sheetPr filterMode="1">
    <tabColor rgb="FFFFFFCC"/>
  </sheetPr>
  <dimension ref="A1:L74"/>
  <sheetViews>
    <sheetView tabSelected="1" workbookViewId="0">
      <selection activeCell="D15" sqref="B15:G16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130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>
        <f>G72+G73</f>
        <v>3398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hidden="1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発注書'!Q13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発注書'!Q14</f>
        <v>5</v>
      </c>
      <c r="F15" s="76">
        <f t="shared" ref="F15:F70" si="0">$E15*C15</f>
        <v>1080</v>
      </c>
      <c r="G15" s="78">
        <f t="shared" ref="G15:G45" si="1">E15*D15</f>
        <v>780</v>
      </c>
    </row>
    <row r="16" spans="1:12" ht="12.6" hidden="1" customHeight="1">
      <c r="A16" s="71">
        <f>'入力　発注書'!A15</f>
        <v>3</v>
      </c>
      <c r="B16" s="74" t="str">
        <f>'入力　発注書'!B15</f>
        <v>新玉ねぎ</v>
      </c>
      <c r="C16" s="75">
        <f>'印刷・FAX　発注書'!H15</f>
        <v>158</v>
      </c>
      <c r="D16" s="75">
        <f>'印刷・FAX　発注書'!I15</f>
        <v>114</v>
      </c>
      <c r="E16" s="75">
        <f>'入力　発注書'!Q15</f>
        <v>0</v>
      </c>
      <c r="F16" s="76">
        <f t="shared" ref="F16" si="2">$E16*C16</f>
        <v>0</v>
      </c>
      <c r="G16" s="78">
        <f t="shared" ref="G16" si="3">E16*D16</f>
        <v>0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発注書'!Q16</f>
        <v>5</v>
      </c>
      <c r="F17" s="76">
        <f t="shared" si="0"/>
        <v>790</v>
      </c>
      <c r="G17" s="78">
        <f t="shared" si="1"/>
        <v>570</v>
      </c>
    </row>
    <row r="18" spans="1:7" ht="13.15" hidden="1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発注書'!Q17</f>
        <v>0</v>
      </c>
      <c r="F18" s="76">
        <f t="shared" si="0"/>
        <v>0</v>
      </c>
      <c r="G18" s="78">
        <f t="shared" si="1"/>
        <v>0</v>
      </c>
    </row>
    <row r="19" spans="1:7" ht="13.15" hidden="1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発注書'!Q18</f>
        <v>0</v>
      </c>
      <c r="F19" s="76">
        <f t="shared" si="0"/>
        <v>0</v>
      </c>
      <c r="G19" s="76">
        <f t="shared" si="1"/>
        <v>0</v>
      </c>
    </row>
    <row r="20" spans="1:7" ht="13.15" hidden="1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発注書'!Q19</f>
        <v>0</v>
      </c>
      <c r="F20" s="76">
        <f t="shared" si="0"/>
        <v>0</v>
      </c>
      <c r="G20" s="78">
        <f t="shared" si="1"/>
        <v>0</v>
      </c>
    </row>
    <row r="21" spans="1:7" ht="13.15" hidden="1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発注書'!Q20</f>
        <v>0</v>
      </c>
      <c r="F21" s="76">
        <f t="shared" si="0"/>
        <v>0</v>
      </c>
      <c r="G21" s="76">
        <f t="shared" si="1"/>
        <v>0</v>
      </c>
    </row>
    <row r="22" spans="1:7" ht="13.15" hidden="1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発注書'!Q21</f>
        <v>0</v>
      </c>
      <c r="F22" s="76">
        <f t="shared" si="0"/>
        <v>0</v>
      </c>
      <c r="G22" s="78">
        <f t="shared" si="1"/>
        <v>0</v>
      </c>
    </row>
    <row r="23" spans="1:7" ht="13.15" hidden="1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発注書'!Q22</f>
        <v>0</v>
      </c>
      <c r="F23" s="76">
        <f t="shared" si="0"/>
        <v>0</v>
      </c>
      <c r="G23" s="78">
        <f t="shared" si="1"/>
        <v>0</v>
      </c>
    </row>
    <row r="24" spans="1:7" ht="13.15" hidden="1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発注書'!Q23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発注書'!Q24</f>
        <v>3</v>
      </c>
      <c r="F25" s="76">
        <f t="shared" si="0"/>
        <v>324</v>
      </c>
      <c r="G25" s="76">
        <f t="shared" si="1"/>
        <v>234</v>
      </c>
    </row>
    <row r="26" spans="1:7" ht="13.15" hidden="1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発注書'!Q25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発注書'!Q26</f>
        <v>2</v>
      </c>
      <c r="F27" s="76">
        <f t="shared" si="0"/>
        <v>276</v>
      </c>
      <c r="G27" s="76">
        <f t="shared" si="1"/>
        <v>200</v>
      </c>
    </row>
    <row r="28" spans="1:7" ht="13.15" hidden="1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発注書'!Q27</f>
        <v>0</v>
      </c>
      <c r="F28" s="76">
        <f t="shared" si="0"/>
        <v>0</v>
      </c>
      <c r="G28" s="78">
        <f t="shared" si="1"/>
        <v>0</v>
      </c>
    </row>
    <row r="29" spans="1:7" ht="13.15" hidden="1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発注書'!Q28</f>
        <v>0</v>
      </c>
      <c r="F29" s="76">
        <f t="shared" si="0"/>
        <v>0</v>
      </c>
      <c r="G29" s="78">
        <f t="shared" si="1"/>
        <v>0</v>
      </c>
    </row>
    <row r="30" spans="1:7" ht="13.15" hidden="1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発注書'!Q29</f>
        <v>0</v>
      </c>
      <c r="F30" s="76">
        <f t="shared" si="0"/>
        <v>0</v>
      </c>
      <c r="G30" s="76">
        <f t="shared" si="1"/>
        <v>0</v>
      </c>
    </row>
    <row r="31" spans="1:7" ht="13.15" hidden="1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発注書'!H29</f>
        <v>148</v>
      </c>
      <c r="D31" s="75">
        <f>'印刷・FAX　発注書'!I29</f>
        <v>107</v>
      </c>
      <c r="E31" s="75">
        <f>'入力　発注書'!Q30</f>
        <v>0</v>
      </c>
      <c r="F31" s="76">
        <f t="shared" si="0"/>
        <v>0</v>
      </c>
      <c r="G31" s="78">
        <f t="shared" si="1"/>
        <v>0</v>
      </c>
    </row>
    <row r="32" spans="1:7" ht="13.15" hidden="1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発注書'!Q31</f>
        <v>0</v>
      </c>
      <c r="F32" s="76">
        <f t="shared" si="0"/>
        <v>0</v>
      </c>
      <c r="G32" s="78">
        <f t="shared" si="1"/>
        <v>0</v>
      </c>
    </row>
    <row r="33" spans="1:7" ht="13.15" hidden="1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発注書'!Q32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発注書'!Q33</f>
        <v>3</v>
      </c>
      <c r="F34" s="76">
        <f t="shared" si="0"/>
        <v>744</v>
      </c>
      <c r="G34" s="78">
        <f t="shared" si="1"/>
        <v>537</v>
      </c>
    </row>
    <row r="35" spans="1:7" ht="13.15" hidden="1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168</v>
      </c>
      <c r="D35" s="75">
        <f>'印刷・FAX　発注書'!I33</f>
        <v>121</v>
      </c>
      <c r="E35" s="75">
        <f>'入力　発注書'!Q34</f>
        <v>0</v>
      </c>
      <c r="F35" s="76">
        <f t="shared" si="0"/>
        <v>0</v>
      </c>
      <c r="G35" s="78">
        <f t="shared" si="1"/>
        <v>0</v>
      </c>
    </row>
    <row r="36" spans="1:7" ht="13.15" hidden="1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発注書'!H34</f>
        <v>258</v>
      </c>
      <c r="D36" s="75">
        <f>'印刷・FAX　発注書'!I34</f>
        <v>186</v>
      </c>
      <c r="E36" s="75">
        <f>'入力　発注書'!Q35</f>
        <v>0</v>
      </c>
      <c r="F36" s="76">
        <f t="shared" si="0"/>
        <v>0</v>
      </c>
      <c r="G36" s="78">
        <f t="shared" si="1"/>
        <v>0</v>
      </c>
    </row>
    <row r="37" spans="1:7" ht="13.15" hidden="1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発注書'!Q36</f>
        <v>0</v>
      </c>
      <c r="F37" s="76">
        <f t="shared" si="0"/>
        <v>0</v>
      </c>
      <c r="G37" s="78">
        <f t="shared" si="1"/>
        <v>0</v>
      </c>
    </row>
    <row r="38" spans="1:7" ht="13.15" hidden="1" customHeight="1">
      <c r="A38" s="77">
        <f>'入力　発注書'!A37</f>
        <v>25</v>
      </c>
      <c r="B38" s="74" t="str">
        <f>'入力　発注書'!B37</f>
        <v/>
      </c>
      <c r="C38" s="75">
        <f>'印刷・FAX　発注書'!H36</f>
        <v>0</v>
      </c>
      <c r="D38" s="75">
        <f>'印刷・FAX　発注書'!I36</f>
        <v>0</v>
      </c>
      <c r="E38" s="75">
        <f>'入力　発注書'!Q37</f>
        <v>0</v>
      </c>
      <c r="F38" s="76">
        <f t="shared" si="0"/>
        <v>0</v>
      </c>
      <c r="G38" s="78">
        <f t="shared" si="1"/>
        <v>0</v>
      </c>
    </row>
    <row r="39" spans="1:7" ht="13.15" hidden="1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178</v>
      </c>
      <c r="D39" s="75">
        <f>'印刷・FAX　発注書'!I37</f>
        <v>129</v>
      </c>
      <c r="E39" s="75">
        <f>'入力　発注書'!Q38</f>
        <v>0</v>
      </c>
      <c r="F39" s="76">
        <f t="shared" si="0"/>
        <v>0</v>
      </c>
      <c r="G39" s="78">
        <f t="shared" si="1"/>
        <v>0</v>
      </c>
    </row>
    <row r="40" spans="1:7" ht="13.15" hidden="1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発注書'!Q39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発注書'!Q40</f>
        <v>3</v>
      </c>
      <c r="F41" s="76">
        <f t="shared" si="0"/>
        <v>474</v>
      </c>
      <c r="G41" s="76">
        <f t="shared" si="1"/>
        <v>342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発注書'!Q41</f>
        <v>2</v>
      </c>
      <c r="F42" s="76">
        <f t="shared" si="0"/>
        <v>316</v>
      </c>
      <c r="G42" s="78">
        <f t="shared" si="1"/>
        <v>228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発注書'!Q42</f>
        <v>2</v>
      </c>
      <c r="F43" s="76">
        <f t="shared" si="0"/>
        <v>316</v>
      </c>
      <c r="G43" s="78">
        <f t="shared" si="1"/>
        <v>228</v>
      </c>
    </row>
    <row r="44" spans="1:7" ht="13.15" hidden="1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発注書'!Q43</f>
        <v>0</v>
      </c>
      <c r="F44" s="76">
        <f t="shared" si="0"/>
        <v>0</v>
      </c>
      <c r="G44" s="78">
        <f t="shared" si="1"/>
        <v>0</v>
      </c>
    </row>
    <row r="45" spans="1:7" ht="13.15" hidden="1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発注書'!Q44</f>
        <v>0</v>
      </c>
      <c r="F45" s="76">
        <f t="shared" si="0"/>
        <v>0</v>
      </c>
      <c r="G45" s="78">
        <f t="shared" si="1"/>
        <v>0</v>
      </c>
    </row>
    <row r="46" spans="1:7" ht="13.15" hidden="1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発注書'!Q45</f>
        <v>0</v>
      </c>
      <c r="F46" s="76">
        <f t="shared" si="0"/>
        <v>0</v>
      </c>
      <c r="G46" s="78">
        <f t="shared" ref="G46:G70" si="4">E46*D46</f>
        <v>0</v>
      </c>
    </row>
    <row r="47" spans="1:7" ht="13.15" hidden="1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発注書'!H45</f>
        <v>238</v>
      </c>
      <c r="D47" s="75">
        <f>'印刷・FAX　発注書'!I45</f>
        <v>172</v>
      </c>
      <c r="E47" s="75">
        <f>'入力　発注書'!Q46</f>
        <v>0</v>
      </c>
      <c r="F47" s="76">
        <f t="shared" si="0"/>
        <v>0</v>
      </c>
      <c r="G47" s="76">
        <f t="shared" si="4"/>
        <v>0</v>
      </c>
    </row>
    <row r="48" spans="1:7" ht="13.15" customHeight="1" thickBo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発注書'!Q47</f>
        <v>3</v>
      </c>
      <c r="F48" s="76">
        <f t="shared" si="0"/>
        <v>384</v>
      </c>
      <c r="G48" s="78">
        <f t="shared" si="4"/>
        <v>279</v>
      </c>
    </row>
    <row r="49" spans="1:7" ht="13.15" hidden="1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発注書'!H47</f>
        <v>378</v>
      </c>
      <c r="D49" s="75">
        <f>'印刷・FAX　発注書'!I47</f>
        <v>273</v>
      </c>
      <c r="E49" s="75">
        <f>'入力　発注書'!Q48</f>
        <v>0</v>
      </c>
      <c r="F49" s="76">
        <f t="shared" si="0"/>
        <v>0</v>
      </c>
      <c r="G49" s="78">
        <f t="shared" si="4"/>
        <v>0</v>
      </c>
    </row>
    <row r="50" spans="1:7" ht="13.15" hidden="1" customHeight="1">
      <c r="A50" s="77">
        <f>'入力　発注書'!A49</f>
        <v>37</v>
      </c>
      <c r="B50" s="74" t="str">
        <f>'入力　発注書'!B49</f>
        <v>ソルダム</v>
      </c>
      <c r="C50" s="75">
        <f>'印刷・FAX　発注書'!H48</f>
        <v>398</v>
      </c>
      <c r="D50" s="75">
        <f>'印刷・FAX　発注書'!I48</f>
        <v>287</v>
      </c>
      <c r="E50" s="75">
        <f>'入力　発注書'!Q49</f>
        <v>0</v>
      </c>
      <c r="F50" s="76">
        <f t="shared" si="0"/>
        <v>0</v>
      </c>
      <c r="G50" s="78">
        <f t="shared" si="4"/>
        <v>0</v>
      </c>
    </row>
    <row r="51" spans="1:7" ht="13.15" hidden="1" customHeight="1" thickBo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発注書'!H49</f>
        <v>248</v>
      </c>
      <c r="D51" s="75">
        <f>'印刷・FAX　発注書'!I49</f>
        <v>179</v>
      </c>
      <c r="E51" s="75">
        <f>'入力　発注書'!Q50</f>
        <v>0</v>
      </c>
      <c r="F51" s="76">
        <f t="shared" si="0"/>
        <v>0</v>
      </c>
      <c r="G51" s="76">
        <f t="shared" si="4"/>
        <v>0</v>
      </c>
    </row>
    <row r="52" spans="1:7" ht="13.15" hidden="1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発注書'!H50</f>
        <v>598</v>
      </c>
      <c r="D52" s="75">
        <f>'印刷・FAX　発注書'!I50</f>
        <v>431</v>
      </c>
      <c r="E52" s="75">
        <f>'入力　発注書'!Q51</f>
        <v>0</v>
      </c>
      <c r="F52" s="76">
        <f t="shared" si="0"/>
        <v>0</v>
      </c>
      <c r="G52" s="78">
        <f t="shared" si="4"/>
        <v>0</v>
      </c>
    </row>
    <row r="53" spans="1:7" ht="13.15" hidden="1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発注書'!H51</f>
        <v>598</v>
      </c>
      <c r="D53" s="75">
        <f>'印刷・FAX　発注書'!I51</f>
        <v>431</v>
      </c>
      <c r="E53" s="75">
        <f>'入力　発注書'!Q52</f>
        <v>0</v>
      </c>
      <c r="F53" s="76">
        <f t="shared" si="0"/>
        <v>0</v>
      </c>
      <c r="G53" s="78">
        <f t="shared" si="4"/>
        <v>0</v>
      </c>
    </row>
    <row r="54" spans="1:7" ht="13.15" hidden="1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発注書'!Q53</f>
        <v>0</v>
      </c>
      <c r="F54" s="76">
        <f t="shared" si="0"/>
        <v>0</v>
      </c>
      <c r="G54" s="78">
        <f t="shared" si="4"/>
        <v>0</v>
      </c>
    </row>
    <row r="55" spans="1:7" ht="13.15" hidden="1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発注書'!Q54</f>
        <v>0</v>
      </c>
      <c r="F55" s="76">
        <f t="shared" si="0"/>
        <v>0</v>
      </c>
      <c r="G55" s="76">
        <f t="shared" si="4"/>
        <v>0</v>
      </c>
    </row>
    <row r="56" spans="1:7" ht="16.5" hidden="1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発注書'!Q55</f>
        <v>0</v>
      </c>
      <c r="F56" s="76">
        <f t="shared" si="0"/>
        <v>0</v>
      </c>
      <c r="G56" s="78">
        <f t="shared" si="4"/>
        <v>0</v>
      </c>
    </row>
    <row r="57" spans="1:7" ht="15.6" hidden="1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発注書'!Q56</f>
        <v>0</v>
      </c>
      <c r="F57" s="76">
        <f t="shared" si="0"/>
        <v>0</v>
      </c>
      <c r="G57" s="78">
        <f t="shared" si="4"/>
        <v>0</v>
      </c>
    </row>
    <row r="58" spans="1:7" ht="15.6" hidden="1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発注書'!Q57</f>
        <v>0</v>
      </c>
      <c r="F58" s="76">
        <f t="shared" si="0"/>
        <v>0</v>
      </c>
      <c r="G58" s="78">
        <f t="shared" si="4"/>
        <v>0</v>
      </c>
    </row>
    <row r="59" spans="1:7" ht="15" hidden="1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発注書'!Q58</f>
        <v>0</v>
      </c>
      <c r="F59" s="76">
        <f t="shared" si="0"/>
        <v>0</v>
      </c>
      <c r="G59" s="78">
        <f t="shared" si="4"/>
        <v>0</v>
      </c>
    </row>
    <row r="60" spans="1:7" ht="19.5" hidden="1" thickBot="1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発注書'!Q59</f>
        <v>0</v>
      </c>
      <c r="F60" s="76">
        <f t="shared" si="0"/>
        <v>0</v>
      </c>
      <c r="G60" s="78">
        <f t="shared" si="4"/>
        <v>0</v>
      </c>
    </row>
    <row r="61" spans="1:7" ht="19.5" hidden="1" thickBo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発注書'!Q60</f>
        <v>0</v>
      </c>
      <c r="F61" s="76">
        <f t="shared" si="0"/>
        <v>0</v>
      </c>
      <c r="G61" s="78">
        <f t="shared" si="4"/>
        <v>0</v>
      </c>
    </row>
    <row r="62" spans="1:7" ht="19.5" hidden="1" thickBot="1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発注書'!Q61</f>
        <v>0</v>
      </c>
      <c r="F62" s="76">
        <f t="shared" si="0"/>
        <v>0</v>
      </c>
      <c r="G62" s="78">
        <f t="shared" si="4"/>
        <v>0</v>
      </c>
    </row>
    <row r="63" spans="1:7" ht="19.5" hidden="1" thickBo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発注書'!Q62</f>
        <v>0</v>
      </c>
      <c r="F63" s="76">
        <f t="shared" si="0"/>
        <v>0</v>
      </c>
      <c r="G63" s="78">
        <f t="shared" si="4"/>
        <v>0</v>
      </c>
    </row>
    <row r="64" spans="1:7" ht="19.5" hidden="1" thickBot="1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発注書'!Q63</f>
        <v>0</v>
      </c>
      <c r="F64" s="76">
        <f t="shared" si="0"/>
        <v>0</v>
      </c>
      <c r="G64" s="78">
        <f t="shared" si="4"/>
        <v>0</v>
      </c>
    </row>
    <row r="65" spans="1:7" ht="19.5" hidden="1" thickBot="1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発注書'!Q64</f>
        <v>0</v>
      </c>
      <c r="F65" s="76">
        <f t="shared" si="0"/>
        <v>0</v>
      </c>
      <c r="G65" s="78">
        <f t="shared" si="4"/>
        <v>0</v>
      </c>
    </row>
    <row r="66" spans="1:7" ht="19.5" hidden="1" thickBot="1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発注書'!Q65</f>
        <v>0</v>
      </c>
      <c r="F66" s="76">
        <f t="shared" si="0"/>
        <v>0</v>
      </c>
      <c r="G66" s="78">
        <f t="shared" si="4"/>
        <v>0</v>
      </c>
    </row>
    <row r="67" spans="1:7" ht="19.5" hidden="1" thickBot="1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発注書'!Q66</f>
        <v>0</v>
      </c>
      <c r="F67" s="76">
        <f t="shared" si="0"/>
        <v>0</v>
      </c>
      <c r="G67" s="78">
        <f t="shared" si="4"/>
        <v>0</v>
      </c>
    </row>
    <row r="68" spans="1:7" ht="19.5" hidden="1" thickBot="1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発注書'!Q67</f>
        <v>0</v>
      </c>
      <c r="F68" s="76">
        <f t="shared" si="0"/>
        <v>0</v>
      </c>
      <c r="G68" s="78">
        <f t="shared" si="4"/>
        <v>0</v>
      </c>
    </row>
    <row r="69" spans="1:7" ht="19.5" hidden="1" thickBot="1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発注書'!Q68</f>
        <v>0</v>
      </c>
      <c r="F69" s="76">
        <f t="shared" si="0"/>
        <v>0</v>
      </c>
      <c r="G69" s="78">
        <f t="shared" si="4"/>
        <v>0</v>
      </c>
    </row>
    <row r="70" spans="1:7" ht="19.5" hidden="1" thickBot="1">
      <c r="A70" s="170">
        <f>'入力　発注書'!A69</f>
        <v>57</v>
      </c>
      <c r="B70" s="171">
        <f>'入力　発注書'!B69</f>
        <v>0</v>
      </c>
      <c r="C70" s="172">
        <f>'印刷・FAX　発注書'!H68</f>
        <v>0</v>
      </c>
      <c r="D70" s="172">
        <f>'印刷・FAX　発注書'!I68</f>
        <v>0</v>
      </c>
      <c r="E70" s="172">
        <f>'入力　発注書'!Q69</f>
        <v>0</v>
      </c>
      <c r="F70" s="173">
        <f t="shared" si="0"/>
        <v>0</v>
      </c>
      <c r="G70" s="174">
        <f t="shared" si="4"/>
        <v>0</v>
      </c>
    </row>
    <row r="71" spans="1:7" ht="20.25" hidden="1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発注書'!P70</f>
        <v>0</v>
      </c>
      <c r="E71" s="82">
        <f>'入力　発注書'!Q70</f>
        <v>0</v>
      </c>
      <c r="F71" s="82">
        <v>0</v>
      </c>
      <c r="G71" s="83">
        <f>E71*D71</f>
        <v>0</v>
      </c>
    </row>
    <row r="72" spans="1:7" s="53" customFormat="1" ht="16.5" customHeight="1" thickTop="1">
      <c r="A72" s="125"/>
      <c r="B72" s="124" t="s">
        <v>66</v>
      </c>
      <c r="C72" s="124"/>
      <c r="D72" s="182" t="s">
        <v>71</v>
      </c>
      <c r="E72" s="183"/>
      <c r="F72" s="128">
        <f>SUM(F14:F70)</f>
        <v>4704</v>
      </c>
      <c r="G72" s="128">
        <f>SUM(G14:G70)</f>
        <v>3398</v>
      </c>
    </row>
    <row r="73" spans="1:7" s="53" customFormat="1" ht="18.75" hidden="1" customHeight="1">
      <c r="A73" s="126"/>
      <c r="B73" s="127"/>
      <c r="C73" s="70"/>
      <c r="D73" s="184" t="s">
        <v>72</v>
      </c>
      <c r="E73" s="185"/>
      <c r="F73" s="55">
        <f>F71</f>
        <v>0</v>
      </c>
      <c r="G73" s="55">
        <f>G71</f>
        <v>0</v>
      </c>
    </row>
    <row r="74" spans="1:7" ht="18.7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>
    <filterColumn colId="6">
      <filters blank="1">
        <filter val="200"/>
        <filter val="228"/>
        <filter val="234"/>
        <filter val="279"/>
        <filter val="3,398"/>
        <filter val="342"/>
        <filter val="537"/>
        <filter val="570"/>
        <filter val="780"/>
      </filters>
    </filterColumn>
  </autoFilter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15748031496062992" bottom="0" header="0.31496062992125984" footer="0.31496062992125984"/>
  <pageSetup paperSiz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989E-9052-41FA-B67B-2FE66B1F3AD5}">
  <sheetPr>
    <tabColor rgb="FFFFFFCC"/>
  </sheetPr>
  <dimension ref="A1:L74"/>
  <sheetViews>
    <sheetView workbookViewId="0">
      <selection activeCell="B15" sqref="B15:G16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131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>
        <f>G72+G73</f>
        <v>0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発注書'!S13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発注書'!S14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>
        <f>'印刷・FAX　発注書'!H15</f>
        <v>158</v>
      </c>
      <c r="D16" s="75">
        <f>'印刷・FAX　発注書'!I15</f>
        <v>114</v>
      </c>
      <c r="E16" s="75">
        <f>'入力　発注書'!S15</f>
        <v>0</v>
      </c>
      <c r="F16" s="76">
        <f t="shared" ref="F16" si="2">$E16*C16</f>
        <v>0</v>
      </c>
      <c r="G16" s="78">
        <f t="shared" ref="G16" si="3">E16*D16</f>
        <v>0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発注書'!S16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発注書'!S17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発注書'!S18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発注書'!S19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発注書'!S20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発注書'!S21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発注書'!S22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発注書'!S23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発注書'!S24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発注書'!S25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発注書'!S26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発注書'!S27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発注書'!S28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発注書'!S29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発注書'!H29</f>
        <v>148</v>
      </c>
      <c r="D31" s="75">
        <f>'印刷・FAX　発注書'!I29</f>
        <v>107</v>
      </c>
      <c r="E31" s="75">
        <f>'入力　発注書'!S30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発注書'!S31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発注書'!S32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発注書'!S33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168</v>
      </c>
      <c r="D35" s="75">
        <f>'印刷・FAX　発注書'!I33</f>
        <v>121</v>
      </c>
      <c r="E35" s="75">
        <f>'入力　発注書'!S34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発注書'!H34</f>
        <v>258</v>
      </c>
      <c r="D36" s="75">
        <f>'印刷・FAX　発注書'!I34</f>
        <v>186</v>
      </c>
      <c r="E36" s="75">
        <f>'入力　発注書'!S35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発注書'!S36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/>
      </c>
      <c r="C38" s="75">
        <f>'印刷・FAX　発注書'!H36</f>
        <v>0</v>
      </c>
      <c r="D38" s="75">
        <f>'印刷・FAX　発注書'!I36</f>
        <v>0</v>
      </c>
      <c r="E38" s="75">
        <f>'入力　発注書'!S37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178</v>
      </c>
      <c r="D39" s="75">
        <f>'印刷・FAX　発注書'!I37</f>
        <v>129</v>
      </c>
      <c r="E39" s="75">
        <f>'入力　発注書'!S38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発注書'!S39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発注書'!S40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発注書'!S41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発注書'!S42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発注書'!S43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発注書'!S44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発注書'!S45</f>
        <v>0</v>
      </c>
      <c r="F46" s="76">
        <f t="shared" si="0"/>
        <v>0</v>
      </c>
      <c r="G46" s="78">
        <f t="shared" ref="G46:G71" si="4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発注書'!H45</f>
        <v>238</v>
      </c>
      <c r="D47" s="75">
        <f>'印刷・FAX　発注書'!I45</f>
        <v>172</v>
      </c>
      <c r="E47" s="75">
        <f>'入力　発注書'!S46</f>
        <v>0</v>
      </c>
      <c r="F47" s="76">
        <f t="shared" si="0"/>
        <v>0</v>
      </c>
      <c r="G47" s="76">
        <f t="shared" si="4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発注書'!S47</f>
        <v>0</v>
      </c>
      <c r="F48" s="76">
        <f t="shared" si="0"/>
        <v>0</v>
      </c>
      <c r="G48" s="78">
        <f t="shared" si="4"/>
        <v>0</v>
      </c>
    </row>
    <row r="49" spans="1:7" ht="13.15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発注書'!H47</f>
        <v>378</v>
      </c>
      <c r="D49" s="75">
        <f>'印刷・FAX　発注書'!I47</f>
        <v>273</v>
      </c>
      <c r="E49" s="75">
        <f>'入力　発注書'!S48</f>
        <v>0</v>
      </c>
      <c r="F49" s="76">
        <f t="shared" si="0"/>
        <v>0</v>
      </c>
      <c r="G49" s="78">
        <f t="shared" si="4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ソルダム</v>
      </c>
      <c r="C50" s="75">
        <f>'印刷・FAX　発注書'!H48</f>
        <v>398</v>
      </c>
      <c r="D50" s="75">
        <f>'印刷・FAX　発注書'!I48</f>
        <v>287</v>
      </c>
      <c r="E50" s="75">
        <f>'入力　発注書'!S49</f>
        <v>0</v>
      </c>
      <c r="F50" s="76">
        <f t="shared" si="0"/>
        <v>0</v>
      </c>
      <c r="G50" s="78">
        <f t="shared" si="4"/>
        <v>0</v>
      </c>
    </row>
    <row r="51" spans="1:7" ht="13.15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発注書'!H49</f>
        <v>248</v>
      </c>
      <c r="D51" s="75">
        <f>'印刷・FAX　発注書'!I49</f>
        <v>179</v>
      </c>
      <c r="E51" s="75">
        <f>'入力　発注書'!S50</f>
        <v>0</v>
      </c>
      <c r="F51" s="76">
        <f t="shared" si="0"/>
        <v>0</v>
      </c>
      <c r="G51" s="76">
        <f t="shared" si="4"/>
        <v>0</v>
      </c>
    </row>
    <row r="52" spans="1:7" ht="13.15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発注書'!H50</f>
        <v>598</v>
      </c>
      <c r="D52" s="75">
        <f>'印刷・FAX　発注書'!I50</f>
        <v>431</v>
      </c>
      <c r="E52" s="75">
        <f>'入力　発注書'!S51</f>
        <v>0</v>
      </c>
      <c r="F52" s="76">
        <f t="shared" si="0"/>
        <v>0</v>
      </c>
      <c r="G52" s="78">
        <f t="shared" si="4"/>
        <v>0</v>
      </c>
    </row>
    <row r="53" spans="1:7" ht="13.15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発注書'!H51</f>
        <v>598</v>
      </c>
      <c r="D53" s="75">
        <f>'印刷・FAX　発注書'!I51</f>
        <v>431</v>
      </c>
      <c r="E53" s="75">
        <f>'入力　発注書'!S52</f>
        <v>0</v>
      </c>
      <c r="F53" s="76">
        <f t="shared" si="0"/>
        <v>0</v>
      </c>
      <c r="G53" s="78">
        <f t="shared" si="4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発注書'!S53</f>
        <v>0</v>
      </c>
      <c r="F54" s="76">
        <f t="shared" si="0"/>
        <v>0</v>
      </c>
      <c r="G54" s="78">
        <f t="shared" si="4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発注書'!S54</f>
        <v>0</v>
      </c>
      <c r="F55" s="76">
        <f t="shared" si="0"/>
        <v>0</v>
      </c>
      <c r="G55" s="76">
        <f t="shared" si="4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発注書'!S55</f>
        <v>0</v>
      </c>
      <c r="F56" s="76">
        <f t="shared" si="0"/>
        <v>0</v>
      </c>
      <c r="G56" s="78">
        <f t="shared" si="4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発注書'!S56</f>
        <v>0</v>
      </c>
      <c r="F57" s="76">
        <f>$E57*C57</f>
        <v>0</v>
      </c>
      <c r="G57" s="78">
        <f t="shared" si="4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発注書'!S57</f>
        <v>0</v>
      </c>
      <c r="F58" s="76">
        <f t="shared" si="0"/>
        <v>0</v>
      </c>
      <c r="G58" s="78">
        <f t="shared" si="4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発注書'!S58</f>
        <v>0</v>
      </c>
      <c r="F59" s="76">
        <f t="shared" si="0"/>
        <v>0</v>
      </c>
      <c r="G59" s="78">
        <f t="shared" si="4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発注書'!S59</f>
        <v>0</v>
      </c>
      <c r="F60" s="76">
        <f t="shared" si="0"/>
        <v>0</v>
      </c>
      <c r="G60" s="78">
        <f t="shared" si="4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発注書'!S60</f>
        <v>0</v>
      </c>
      <c r="F61" s="76">
        <f t="shared" si="0"/>
        <v>0</v>
      </c>
      <c r="G61" s="78">
        <f t="shared" si="4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発注書'!S61</f>
        <v>0</v>
      </c>
      <c r="F62" s="76">
        <f t="shared" si="0"/>
        <v>0</v>
      </c>
      <c r="G62" s="78">
        <f t="shared" si="4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発注書'!S62</f>
        <v>0</v>
      </c>
      <c r="F63" s="76">
        <f t="shared" si="0"/>
        <v>0</v>
      </c>
      <c r="G63" s="78">
        <f t="shared" si="4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発注書'!S63</f>
        <v>0</v>
      </c>
      <c r="F64" s="76">
        <f t="shared" si="0"/>
        <v>0</v>
      </c>
      <c r="G64" s="78">
        <f t="shared" si="4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発注書'!S64</f>
        <v>0</v>
      </c>
      <c r="F65" s="76">
        <f t="shared" si="0"/>
        <v>0</v>
      </c>
      <c r="G65" s="78">
        <f t="shared" si="4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発注書'!S65</f>
        <v>0</v>
      </c>
      <c r="F66" s="76">
        <f t="shared" si="0"/>
        <v>0</v>
      </c>
      <c r="G66" s="78">
        <f t="shared" si="4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発注書'!S66</f>
        <v>0</v>
      </c>
      <c r="F67" s="76">
        <f t="shared" si="0"/>
        <v>0</v>
      </c>
      <c r="G67" s="78">
        <f t="shared" si="4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発注書'!S67</f>
        <v>0</v>
      </c>
      <c r="F68" s="76">
        <f t="shared" si="0"/>
        <v>0</v>
      </c>
      <c r="G68" s="78">
        <f t="shared" si="4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発注書'!S68</f>
        <v>0</v>
      </c>
      <c r="F69" s="76">
        <f t="shared" si="0"/>
        <v>0</v>
      </c>
      <c r="G69" s="78">
        <f t="shared" si="4"/>
        <v>0</v>
      </c>
    </row>
    <row r="70" spans="1:7" ht="19.5" thickBot="1">
      <c r="A70" s="170">
        <f>'入力　発注書'!A69</f>
        <v>57</v>
      </c>
      <c r="B70" s="171">
        <f>'入力　発注書'!B69</f>
        <v>0</v>
      </c>
      <c r="C70" s="172">
        <f>'印刷・FAX　発注書'!H68</f>
        <v>0</v>
      </c>
      <c r="D70" s="172">
        <f>'印刷・FAX　発注書'!I68</f>
        <v>0</v>
      </c>
      <c r="E70" s="172">
        <f>'入力　発注書'!S69</f>
        <v>0</v>
      </c>
      <c r="F70" s="173">
        <f t="shared" si="0"/>
        <v>0</v>
      </c>
      <c r="G70" s="174">
        <f t="shared" si="4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発注書'!R70</f>
        <v>0</v>
      </c>
      <c r="E71" s="82">
        <f>'入力　発注書'!S70</f>
        <v>0</v>
      </c>
      <c r="F71" s="82">
        <v>0</v>
      </c>
      <c r="G71" s="83">
        <f t="shared" si="4"/>
        <v>0</v>
      </c>
    </row>
    <row r="72" spans="1:7" s="53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28">
        <f>SUM(F14:F70)</f>
        <v>0</v>
      </c>
      <c r="G72" s="128">
        <f>SUM(G14:G70)</f>
        <v>0</v>
      </c>
    </row>
    <row r="73" spans="1:7" s="53" customFormat="1" ht="16.5" customHeight="1">
      <c r="A73" s="126"/>
      <c r="B73" s="127"/>
      <c r="C73" s="70"/>
      <c r="D73" s="184" t="s">
        <v>72</v>
      </c>
      <c r="E73" s="185"/>
      <c r="F73" s="52">
        <v>0</v>
      </c>
      <c r="G73" s="52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737-02DA-4242-BE35-E5B73D464521}">
  <sheetPr>
    <tabColor rgb="FFFFFFCC"/>
  </sheetPr>
  <dimension ref="A1:L74"/>
  <sheetViews>
    <sheetView workbookViewId="0">
      <selection activeCell="F15" sqref="F15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57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 t="e">
        <f>G72+G73</f>
        <v>#REF!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211" t="s">
        <v>78</v>
      </c>
      <c r="D12" s="211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発注書'!U13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発注書'!U14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発注書'!U15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発注書'!U16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発注書'!U17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発注書'!U18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発注書'!U19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発注書'!U20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発注書'!U21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発注書'!U22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発注書'!U23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発注書'!U24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発注書'!U25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発注書'!U26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発注書'!U27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発注書'!U28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発注書'!U29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発注書'!H29</f>
        <v>148</v>
      </c>
      <c r="D31" s="75">
        <f>'印刷・FAX　発注書'!I29</f>
        <v>107</v>
      </c>
      <c r="E31" s="75">
        <f>'入力　発注書'!U30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発注書'!U31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発注書'!U32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発注書'!U33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168</v>
      </c>
      <c r="D35" s="75">
        <f>'印刷・FAX　発注書'!I33</f>
        <v>121</v>
      </c>
      <c r="E35" s="75">
        <f>'入力　発注書'!U34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発注書'!H34</f>
        <v>258</v>
      </c>
      <c r="D36" s="75">
        <f>'印刷・FAX　発注書'!I34</f>
        <v>186</v>
      </c>
      <c r="E36" s="75">
        <f>'入力　発注書'!U35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発注書'!U36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/>
      </c>
      <c r="C38" s="75">
        <f>'印刷・FAX　発注書'!H36</f>
        <v>0</v>
      </c>
      <c r="D38" s="75">
        <f>'印刷・FAX　発注書'!I36</f>
        <v>0</v>
      </c>
      <c r="E38" s="75">
        <f>'入力　発注書'!U37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178</v>
      </c>
      <c r="D39" s="75">
        <f>'印刷・FAX　発注書'!I37</f>
        <v>129</v>
      </c>
      <c r="E39" s="75">
        <f>'入力　発注書'!U38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発注書'!U39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発注書'!U40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発注書'!U41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発注書'!U42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発注書'!U43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発注書'!U44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発注書'!U45</f>
        <v>0</v>
      </c>
      <c r="F46" s="76">
        <f t="shared" si="0"/>
        <v>0</v>
      </c>
      <c r="G46" s="78">
        <f t="shared" ref="G46:G71" si="2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発注書'!H45</f>
        <v>238</v>
      </c>
      <c r="D47" s="75">
        <f>'印刷・FAX　発注書'!I45</f>
        <v>172</v>
      </c>
      <c r="E47" s="75">
        <f>'入力　発注書'!U46</f>
        <v>0</v>
      </c>
      <c r="F47" s="76">
        <f t="shared" si="0"/>
        <v>0</v>
      </c>
      <c r="G47" s="76">
        <f t="shared" si="2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発注書'!U47</f>
        <v>0</v>
      </c>
      <c r="F48" s="76">
        <f t="shared" si="0"/>
        <v>0</v>
      </c>
      <c r="G48" s="78">
        <f t="shared" si="2"/>
        <v>0</v>
      </c>
    </row>
    <row r="49" spans="1:7" ht="13.15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発注書'!H47</f>
        <v>378</v>
      </c>
      <c r="D49" s="75">
        <f>'印刷・FAX　発注書'!I47</f>
        <v>273</v>
      </c>
      <c r="E49" s="75">
        <f>'入力　発注書'!U48</f>
        <v>0</v>
      </c>
      <c r="F49" s="76">
        <f t="shared" si="0"/>
        <v>0</v>
      </c>
      <c r="G49" s="78">
        <f t="shared" si="2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ソルダム</v>
      </c>
      <c r="C50" s="75">
        <f>'印刷・FAX　発注書'!H48</f>
        <v>398</v>
      </c>
      <c r="D50" s="75">
        <f>'印刷・FAX　発注書'!I48</f>
        <v>287</v>
      </c>
      <c r="E50" s="75">
        <f>'入力　発注書'!U49</f>
        <v>0</v>
      </c>
      <c r="F50" s="76">
        <f t="shared" si="0"/>
        <v>0</v>
      </c>
      <c r="G50" s="78">
        <f t="shared" si="2"/>
        <v>0</v>
      </c>
    </row>
    <row r="51" spans="1:7" ht="13.15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発注書'!H49</f>
        <v>248</v>
      </c>
      <c r="D51" s="75">
        <f>'印刷・FAX　発注書'!I49</f>
        <v>179</v>
      </c>
      <c r="E51" s="75">
        <f>'入力　発注書'!U50</f>
        <v>0</v>
      </c>
      <c r="F51" s="76">
        <f t="shared" si="0"/>
        <v>0</v>
      </c>
      <c r="G51" s="76">
        <f t="shared" si="2"/>
        <v>0</v>
      </c>
    </row>
    <row r="52" spans="1:7" ht="13.15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発注書'!H50</f>
        <v>598</v>
      </c>
      <c r="D52" s="75">
        <f>'印刷・FAX　発注書'!I50</f>
        <v>431</v>
      </c>
      <c r="E52" s="75">
        <f>'入力　発注書'!U51</f>
        <v>0</v>
      </c>
      <c r="F52" s="76">
        <f t="shared" si="0"/>
        <v>0</v>
      </c>
      <c r="G52" s="78">
        <f t="shared" si="2"/>
        <v>0</v>
      </c>
    </row>
    <row r="53" spans="1:7" ht="13.15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発注書'!H51</f>
        <v>598</v>
      </c>
      <c r="D53" s="75">
        <f>'印刷・FAX　発注書'!I51</f>
        <v>431</v>
      </c>
      <c r="E53" s="75">
        <f>'入力　発注書'!U52</f>
        <v>0</v>
      </c>
      <c r="F53" s="76">
        <f t="shared" si="0"/>
        <v>0</v>
      </c>
      <c r="G53" s="78">
        <f t="shared" si="2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発注書'!U53</f>
        <v>0</v>
      </c>
      <c r="F54" s="76">
        <f t="shared" si="0"/>
        <v>0</v>
      </c>
      <c r="G54" s="78">
        <f t="shared" si="2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発注書'!U54</f>
        <v>0</v>
      </c>
      <c r="F55" s="76">
        <f t="shared" si="0"/>
        <v>0</v>
      </c>
      <c r="G55" s="76">
        <f t="shared" si="2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発注書'!U55</f>
        <v>0</v>
      </c>
      <c r="F56" s="76">
        <f t="shared" si="0"/>
        <v>0</v>
      </c>
      <c r="G56" s="78">
        <f t="shared" si="2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発注書'!U56</f>
        <v>0</v>
      </c>
      <c r="F57" s="76">
        <f t="shared" si="0"/>
        <v>0</v>
      </c>
      <c r="G57" s="78">
        <f t="shared" si="2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発注書'!U57</f>
        <v>0</v>
      </c>
      <c r="F58" s="76">
        <f t="shared" si="0"/>
        <v>0</v>
      </c>
      <c r="G58" s="78">
        <f t="shared" si="2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発注書'!U58</f>
        <v>0</v>
      </c>
      <c r="F59" s="76">
        <f t="shared" si="0"/>
        <v>0</v>
      </c>
      <c r="G59" s="78">
        <f t="shared" si="2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発注書'!U59</f>
        <v>0</v>
      </c>
      <c r="F60" s="76">
        <f t="shared" si="0"/>
        <v>0</v>
      </c>
      <c r="G60" s="78">
        <f t="shared" si="2"/>
        <v>0</v>
      </c>
    </row>
    <row r="61" spans="1:7" ht="14.25" customHeigh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発注書'!U60</f>
        <v>0</v>
      </c>
      <c r="F61" s="76">
        <f t="shared" si="0"/>
        <v>0</v>
      </c>
      <c r="G61" s="78">
        <f t="shared" si="2"/>
        <v>0</v>
      </c>
    </row>
    <row r="62" spans="1:7" ht="14.25" customHeight="1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発注書'!U61</f>
        <v>0</v>
      </c>
      <c r="F62" s="76">
        <f t="shared" si="0"/>
        <v>0</v>
      </c>
      <c r="G62" s="78">
        <f t="shared" si="2"/>
        <v>0</v>
      </c>
    </row>
    <row r="63" spans="1:7" ht="14.25" customHeigh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発注書'!U62</f>
        <v>0</v>
      </c>
      <c r="F63" s="76">
        <f t="shared" si="0"/>
        <v>0</v>
      </c>
      <c r="G63" s="78">
        <f t="shared" si="2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発注書'!U63</f>
        <v>0</v>
      </c>
      <c r="F64" s="76">
        <f t="shared" si="0"/>
        <v>0</v>
      </c>
      <c r="G64" s="78">
        <f t="shared" si="2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発注書'!U64</f>
        <v>0</v>
      </c>
      <c r="F65" s="76">
        <f t="shared" si="0"/>
        <v>0</v>
      </c>
      <c r="G65" s="78">
        <f t="shared" si="2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発注書'!U65</f>
        <v>0</v>
      </c>
      <c r="F66" s="76">
        <f t="shared" si="0"/>
        <v>0</v>
      </c>
      <c r="G66" s="78">
        <f t="shared" si="2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発注書'!U66</f>
        <v>0</v>
      </c>
      <c r="F67" s="76">
        <f t="shared" si="0"/>
        <v>0</v>
      </c>
      <c r="G67" s="78">
        <f t="shared" si="2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発注書'!U67</f>
        <v>0</v>
      </c>
      <c r="F68" s="76">
        <f t="shared" si="0"/>
        <v>0</v>
      </c>
      <c r="G68" s="78">
        <f t="shared" si="2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発注書'!U68</f>
        <v>0</v>
      </c>
      <c r="F69" s="76">
        <f t="shared" si="0"/>
        <v>0</v>
      </c>
      <c r="G69" s="78">
        <f t="shared" si="2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発注書'!U69</f>
        <v>0</v>
      </c>
      <c r="F70" s="76">
        <f t="shared" si="0"/>
        <v>0</v>
      </c>
      <c r="G70" s="78">
        <f t="shared" si="2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発注書'!T70</f>
        <v>0</v>
      </c>
      <c r="E71" s="75">
        <f>'入力　発注書'!U70</f>
        <v>0</v>
      </c>
      <c r="F71" s="82"/>
      <c r="G71" s="83">
        <f t="shared" si="2"/>
        <v>0</v>
      </c>
    </row>
    <row r="72" spans="1:7" s="51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30" t="e">
        <f>SUM(F14:F70)</f>
        <v>#REF!</v>
      </c>
      <c r="G72" s="130" t="e">
        <f>SUM(G14:G70)</f>
        <v>#REF!</v>
      </c>
    </row>
    <row r="73" spans="1:7" s="51" customFormat="1" ht="16.5" hidden="1" customHeight="1">
      <c r="A73" s="126"/>
      <c r="B73" s="127"/>
      <c r="C73" s="70"/>
      <c r="D73" s="184" t="s">
        <v>72</v>
      </c>
      <c r="E73" s="185"/>
      <c r="F73" s="56"/>
      <c r="G73" s="56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A85-0F29-45EB-B87C-C0EB6A20BD47}">
  <sheetPr>
    <tabColor rgb="FFFFFFCC"/>
  </sheetPr>
  <dimension ref="A1:L74"/>
  <sheetViews>
    <sheetView topLeftCell="A11" workbookViewId="0">
      <selection activeCell="E14" sqref="E14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58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 t="e">
        <f>G72+G73</f>
        <v>#REF!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発注書'!W13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発注書'!W14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発注書'!W15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発注書'!W16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発注書'!W17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発注書'!W18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発注書'!W19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発注書'!W20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発注書'!W21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発注書'!W22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発注書'!W23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発注書'!W24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発注書'!W25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発注書'!W26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発注書'!W27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発注書'!W28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発注書'!W29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発注書'!H29</f>
        <v>148</v>
      </c>
      <c r="D31" s="75">
        <f>'印刷・FAX　発注書'!I29</f>
        <v>107</v>
      </c>
      <c r="E31" s="75">
        <f>'入力　発注書'!W30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発注書'!W31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発注書'!W32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発注書'!W33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168</v>
      </c>
      <c r="D35" s="75">
        <f>'印刷・FAX　発注書'!I33</f>
        <v>121</v>
      </c>
      <c r="E35" s="75">
        <f>'入力　発注書'!W34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発注書'!H34</f>
        <v>258</v>
      </c>
      <c r="D36" s="75">
        <f>'印刷・FAX　発注書'!I34</f>
        <v>186</v>
      </c>
      <c r="E36" s="75">
        <f>'入力　発注書'!W35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発注書'!W36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/>
      </c>
      <c r="C38" s="75">
        <f>'印刷・FAX　発注書'!H36</f>
        <v>0</v>
      </c>
      <c r="D38" s="75">
        <f>'印刷・FAX　発注書'!I36</f>
        <v>0</v>
      </c>
      <c r="E38" s="75">
        <f>'入力　発注書'!W37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178</v>
      </c>
      <c r="D39" s="75">
        <f>'印刷・FAX　発注書'!I37</f>
        <v>129</v>
      </c>
      <c r="E39" s="75">
        <f>'入力　発注書'!W38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発注書'!W39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発注書'!W40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発注書'!W41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発注書'!W42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発注書'!W43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発注書'!W44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発注書'!W45</f>
        <v>0</v>
      </c>
      <c r="F46" s="76">
        <f t="shared" si="0"/>
        <v>0</v>
      </c>
      <c r="G46" s="78">
        <f t="shared" ref="G46:G70" si="2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発注書'!H45</f>
        <v>238</v>
      </c>
      <c r="D47" s="75">
        <f>'印刷・FAX　発注書'!I45</f>
        <v>172</v>
      </c>
      <c r="E47" s="75">
        <f>'入力　発注書'!W46</f>
        <v>0</v>
      </c>
      <c r="F47" s="76">
        <f t="shared" si="0"/>
        <v>0</v>
      </c>
      <c r="G47" s="76">
        <f t="shared" si="2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発注書'!W47</f>
        <v>0</v>
      </c>
      <c r="F48" s="76">
        <f t="shared" si="0"/>
        <v>0</v>
      </c>
      <c r="G48" s="78">
        <f t="shared" si="2"/>
        <v>0</v>
      </c>
    </row>
    <row r="49" spans="1:7" ht="13.15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発注書'!H47</f>
        <v>378</v>
      </c>
      <c r="D49" s="75">
        <f>'印刷・FAX　発注書'!I47</f>
        <v>273</v>
      </c>
      <c r="E49" s="75">
        <f>'入力　発注書'!W48</f>
        <v>0</v>
      </c>
      <c r="F49" s="76">
        <f t="shared" si="0"/>
        <v>0</v>
      </c>
      <c r="G49" s="78">
        <f t="shared" si="2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ソルダム</v>
      </c>
      <c r="C50" s="75">
        <f>'印刷・FAX　発注書'!H48</f>
        <v>398</v>
      </c>
      <c r="D50" s="75">
        <f>'印刷・FAX　発注書'!I48</f>
        <v>287</v>
      </c>
      <c r="E50" s="75">
        <f>'入力　発注書'!W49</f>
        <v>0</v>
      </c>
      <c r="F50" s="76">
        <f t="shared" si="0"/>
        <v>0</v>
      </c>
      <c r="G50" s="78">
        <f t="shared" si="2"/>
        <v>0</v>
      </c>
    </row>
    <row r="51" spans="1:7" ht="13.15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発注書'!H49</f>
        <v>248</v>
      </c>
      <c r="D51" s="75">
        <f>'印刷・FAX　発注書'!I49</f>
        <v>179</v>
      </c>
      <c r="E51" s="75">
        <f>'入力　発注書'!W50</f>
        <v>0</v>
      </c>
      <c r="F51" s="76">
        <f t="shared" si="0"/>
        <v>0</v>
      </c>
      <c r="G51" s="76">
        <f t="shared" si="2"/>
        <v>0</v>
      </c>
    </row>
    <row r="52" spans="1:7" ht="13.15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発注書'!H50</f>
        <v>598</v>
      </c>
      <c r="D52" s="75">
        <f>'印刷・FAX　発注書'!I50</f>
        <v>431</v>
      </c>
      <c r="E52" s="75">
        <f>'入力　発注書'!W51</f>
        <v>0</v>
      </c>
      <c r="F52" s="76">
        <f t="shared" si="0"/>
        <v>0</v>
      </c>
      <c r="G52" s="78">
        <f t="shared" si="2"/>
        <v>0</v>
      </c>
    </row>
    <row r="53" spans="1:7" ht="13.15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発注書'!H51</f>
        <v>598</v>
      </c>
      <c r="D53" s="75">
        <f>'印刷・FAX　発注書'!I51</f>
        <v>431</v>
      </c>
      <c r="E53" s="75">
        <f>'入力　発注書'!W52</f>
        <v>0</v>
      </c>
      <c r="F53" s="76">
        <f t="shared" si="0"/>
        <v>0</v>
      </c>
      <c r="G53" s="78">
        <f t="shared" si="2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発注書'!W53</f>
        <v>0</v>
      </c>
      <c r="F54" s="76">
        <f t="shared" si="0"/>
        <v>0</v>
      </c>
      <c r="G54" s="78">
        <f t="shared" si="2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発注書'!W54</f>
        <v>0</v>
      </c>
      <c r="F55" s="76">
        <f t="shared" si="0"/>
        <v>0</v>
      </c>
      <c r="G55" s="76">
        <f t="shared" si="2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発注書'!W55</f>
        <v>0</v>
      </c>
      <c r="F56" s="76">
        <f t="shared" si="0"/>
        <v>0</v>
      </c>
      <c r="G56" s="78">
        <f t="shared" si="2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発注書'!W56</f>
        <v>0</v>
      </c>
      <c r="F57" s="76">
        <f t="shared" si="0"/>
        <v>0</v>
      </c>
      <c r="G57" s="78">
        <f t="shared" si="2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発注書'!W57</f>
        <v>0</v>
      </c>
      <c r="F58" s="76">
        <f t="shared" si="0"/>
        <v>0</v>
      </c>
      <c r="G58" s="78">
        <f t="shared" si="2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発注書'!W58</f>
        <v>0</v>
      </c>
      <c r="F59" s="76">
        <f t="shared" si="0"/>
        <v>0</v>
      </c>
      <c r="G59" s="78">
        <f t="shared" si="2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発注書'!W59</f>
        <v>0</v>
      </c>
      <c r="F60" s="76">
        <f t="shared" si="0"/>
        <v>0</v>
      </c>
      <c r="G60" s="78">
        <f t="shared" si="2"/>
        <v>0</v>
      </c>
    </row>
    <row r="61" spans="1:7" ht="13.5" customHeigh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発注書'!W60</f>
        <v>0</v>
      </c>
      <c r="F61" s="76">
        <f t="shared" si="0"/>
        <v>0</v>
      </c>
      <c r="G61" s="78">
        <f t="shared" si="2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発注書'!W61</f>
        <v>0</v>
      </c>
      <c r="F62" s="76">
        <f t="shared" si="0"/>
        <v>0</v>
      </c>
      <c r="G62" s="78">
        <f t="shared" si="2"/>
        <v>0</v>
      </c>
    </row>
    <row r="63" spans="1:7" ht="13.5" customHeigh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発注書'!W62</f>
        <v>0</v>
      </c>
      <c r="F63" s="76">
        <f t="shared" si="0"/>
        <v>0</v>
      </c>
      <c r="G63" s="78">
        <f t="shared" si="2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発注書'!W63</f>
        <v>0</v>
      </c>
      <c r="F64" s="76">
        <f t="shared" si="0"/>
        <v>0</v>
      </c>
      <c r="G64" s="78">
        <f t="shared" si="2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発注書'!W64</f>
        <v>0</v>
      </c>
      <c r="F65" s="76">
        <f t="shared" si="0"/>
        <v>0</v>
      </c>
      <c r="G65" s="78">
        <f t="shared" si="2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発注書'!W65</f>
        <v>0</v>
      </c>
      <c r="F66" s="76">
        <f t="shared" si="0"/>
        <v>0</v>
      </c>
      <c r="G66" s="78">
        <f t="shared" si="2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発注書'!W66</f>
        <v>0</v>
      </c>
      <c r="F67" s="76">
        <f t="shared" si="0"/>
        <v>0</v>
      </c>
      <c r="G67" s="78">
        <f t="shared" si="2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発注書'!W67</f>
        <v>0</v>
      </c>
      <c r="F68" s="76">
        <f t="shared" si="0"/>
        <v>0</v>
      </c>
      <c r="G68" s="78">
        <f t="shared" si="2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発注書'!W68</f>
        <v>0</v>
      </c>
      <c r="F69" s="76">
        <f t="shared" si="0"/>
        <v>0</v>
      </c>
      <c r="G69" s="78">
        <f t="shared" si="2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発注書'!W69</f>
        <v>0</v>
      </c>
      <c r="F70" s="76">
        <f t="shared" si="0"/>
        <v>0</v>
      </c>
      <c r="G70" s="78">
        <f t="shared" si="2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発注書'!V70</f>
        <v>0</v>
      </c>
      <c r="E71" s="75">
        <f>'入力　発注書'!W70</f>
        <v>0</v>
      </c>
      <c r="F71" s="82"/>
      <c r="G71" s="83">
        <f>E71*D71</f>
        <v>0</v>
      </c>
    </row>
    <row r="72" spans="1:7" s="53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84" t="s">
        <v>72</v>
      </c>
      <c r="E73" s="185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BCC-AF2A-4F64-B690-6316D5D68525}">
  <sheetPr>
    <tabColor rgb="FFFFFFCC"/>
  </sheetPr>
  <dimension ref="A1:L74"/>
  <sheetViews>
    <sheetView topLeftCell="A6" workbookViewId="0">
      <selection activeCell="J67" sqref="J67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61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 t="e">
        <f>G72+G73</f>
        <v>#REF!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発注書'!Y13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発注書'!Y14</f>
        <v>0</v>
      </c>
      <c r="F15" s="76">
        <f t="shared" ref="F15:F70" si="0">$E15*C15</f>
        <v>0</v>
      </c>
      <c r="G15" s="76">
        <f t="shared" ref="G15:G70" si="1">$E15*D15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発注書'!Y15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発注書'!Y16</f>
        <v>0</v>
      </c>
      <c r="F17" s="76">
        <f t="shared" si="0"/>
        <v>0</v>
      </c>
      <c r="G17" s="76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発注書'!Y17</f>
        <v>0</v>
      </c>
      <c r="F18" s="76">
        <f t="shared" si="0"/>
        <v>0</v>
      </c>
      <c r="G18" s="76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発注書'!Y18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発注書'!Y19</f>
        <v>0</v>
      </c>
      <c r="F20" s="76">
        <f t="shared" si="0"/>
        <v>0</v>
      </c>
      <c r="G20" s="76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発注書'!Y20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発注書'!Y21</f>
        <v>0</v>
      </c>
      <c r="F22" s="76">
        <f t="shared" si="0"/>
        <v>0</v>
      </c>
      <c r="G22" s="76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発注書'!Y22</f>
        <v>0</v>
      </c>
      <c r="F23" s="76">
        <f t="shared" si="0"/>
        <v>0</v>
      </c>
      <c r="G23" s="76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発注書'!Y23</f>
        <v>0</v>
      </c>
      <c r="F24" s="76">
        <f t="shared" si="0"/>
        <v>0</v>
      </c>
      <c r="G24" s="76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発注書'!Y24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発注書'!Y25</f>
        <v>0</v>
      </c>
      <c r="F26" s="76">
        <f t="shared" si="0"/>
        <v>0</v>
      </c>
      <c r="G26" s="76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発注書'!Y26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発注書'!Y27</f>
        <v>0</v>
      </c>
      <c r="F28" s="76">
        <f t="shared" si="0"/>
        <v>0</v>
      </c>
      <c r="G28" s="76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発注書'!Y28</f>
        <v>0</v>
      </c>
      <c r="F29" s="76">
        <f t="shared" si="0"/>
        <v>0</v>
      </c>
      <c r="G29" s="76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発注書'!Y29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発注書'!H29</f>
        <v>148</v>
      </c>
      <c r="D31" s="75">
        <f>'印刷・FAX　発注書'!I29</f>
        <v>107</v>
      </c>
      <c r="E31" s="75">
        <f>'入力　発注書'!Y30</f>
        <v>0</v>
      </c>
      <c r="F31" s="76">
        <f t="shared" si="0"/>
        <v>0</v>
      </c>
      <c r="G31" s="76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発注書'!Y31</f>
        <v>0</v>
      </c>
      <c r="F32" s="76">
        <f t="shared" si="0"/>
        <v>0</v>
      </c>
      <c r="G32" s="76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発注書'!Y32</f>
        <v>0</v>
      </c>
      <c r="F33" s="76">
        <f t="shared" si="0"/>
        <v>0</v>
      </c>
      <c r="G33" s="76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発注書'!Y33</f>
        <v>0</v>
      </c>
      <c r="F34" s="76">
        <f t="shared" si="0"/>
        <v>0</v>
      </c>
      <c r="G34" s="76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168</v>
      </c>
      <c r="D35" s="75">
        <f>'印刷・FAX　発注書'!I33</f>
        <v>121</v>
      </c>
      <c r="E35" s="75">
        <f>'入力　発注書'!Y34</f>
        <v>0</v>
      </c>
      <c r="F35" s="76">
        <f t="shared" si="0"/>
        <v>0</v>
      </c>
      <c r="G35" s="76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発注書'!H34</f>
        <v>258</v>
      </c>
      <c r="D36" s="75">
        <f>'印刷・FAX　発注書'!I34</f>
        <v>186</v>
      </c>
      <c r="E36" s="75">
        <f>'入力　発注書'!Y35</f>
        <v>0</v>
      </c>
      <c r="F36" s="76">
        <f t="shared" si="0"/>
        <v>0</v>
      </c>
      <c r="G36" s="76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発注書'!Y36</f>
        <v>0</v>
      </c>
      <c r="F37" s="76">
        <f t="shared" si="0"/>
        <v>0</v>
      </c>
      <c r="G37" s="76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/>
      </c>
      <c r="C38" s="75">
        <f>'印刷・FAX　発注書'!H36</f>
        <v>0</v>
      </c>
      <c r="D38" s="75">
        <f>'印刷・FAX　発注書'!I36</f>
        <v>0</v>
      </c>
      <c r="E38" s="75">
        <f>'入力　発注書'!Y37</f>
        <v>0</v>
      </c>
      <c r="F38" s="76">
        <f t="shared" si="0"/>
        <v>0</v>
      </c>
      <c r="G38" s="76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178</v>
      </c>
      <c r="D39" s="75">
        <f>'印刷・FAX　発注書'!I37</f>
        <v>129</v>
      </c>
      <c r="E39" s="75">
        <f>'入力　発注書'!Y38</f>
        <v>0</v>
      </c>
      <c r="F39" s="76">
        <f t="shared" si="0"/>
        <v>0</v>
      </c>
      <c r="G39" s="76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発注書'!Y39</f>
        <v>0</v>
      </c>
      <c r="F40" s="76">
        <f t="shared" si="0"/>
        <v>0</v>
      </c>
      <c r="G40" s="76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発注書'!Y40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発注書'!Y41</f>
        <v>0</v>
      </c>
      <c r="F42" s="76">
        <f t="shared" si="0"/>
        <v>0</v>
      </c>
      <c r="G42" s="76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発注書'!Y42</f>
        <v>0</v>
      </c>
      <c r="F43" s="76">
        <f t="shared" si="0"/>
        <v>0</v>
      </c>
      <c r="G43" s="76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発注書'!Y43</f>
        <v>0</v>
      </c>
      <c r="F44" s="76">
        <f t="shared" si="0"/>
        <v>0</v>
      </c>
      <c r="G44" s="76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発注書'!Y44</f>
        <v>0</v>
      </c>
      <c r="F45" s="76">
        <f t="shared" si="0"/>
        <v>0</v>
      </c>
      <c r="G45" s="76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発注書'!Y45</f>
        <v>0</v>
      </c>
      <c r="F46" s="76">
        <f t="shared" si="0"/>
        <v>0</v>
      </c>
      <c r="G46" s="76">
        <f t="shared" si="1"/>
        <v>0</v>
      </c>
    </row>
    <row r="47" spans="1:7" ht="13.15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発注書'!H45</f>
        <v>238</v>
      </c>
      <c r="D47" s="75">
        <f>'印刷・FAX　発注書'!I45</f>
        <v>172</v>
      </c>
      <c r="E47" s="75">
        <f>'入力　発注書'!Y46</f>
        <v>0</v>
      </c>
      <c r="F47" s="76">
        <f t="shared" si="0"/>
        <v>0</v>
      </c>
      <c r="G47" s="76">
        <f t="shared" si="1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発注書'!Y47</f>
        <v>0</v>
      </c>
      <c r="F48" s="76">
        <f t="shared" si="0"/>
        <v>0</v>
      </c>
      <c r="G48" s="76">
        <f t="shared" si="1"/>
        <v>0</v>
      </c>
    </row>
    <row r="49" spans="1:7" ht="13.15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発注書'!H47</f>
        <v>378</v>
      </c>
      <c r="D49" s="75">
        <f>'印刷・FAX　発注書'!I47</f>
        <v>273</v>
      </c>
      <c r="E49" s="75">
        <f>'入力　発注書'!Y48</f>
        <v>0</v>
      </c>
      <c r="F49" s="76">
        <f t="shared" si="0"/>
        <v>0</v>
      </c>
      <c r="G49" s="76">
        <f t="shared" si="1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ソルダム</v>
      </c>
      <c r="C50" s="75">
        <f>'印刷・FAX　発注書'!H48</f>
        <v>398</v>
      </c>
      <c r="D50" s="75">
        <f>'印刷・FAX　発注書'!I48</f>
        <v>287</v>
      </c>
      <c r="E50" s="75">
        <f>'入力　発注書'!Y49</f>
        <v>0</v>
      </c>
      <c r="F50" s="76">
        <f t="shared" si="0"/>
        <v>0</v>
      </c>
      <c r="G50" s="76">
        <f t="shared" si="1"/>
        <v>0</v>
      </c>
    </row>
    <row r="51" spans="1:7" ht="13.15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発注書'!H49</f>
        <v>248</v>
      </c>
      <c r="D51" s="75">
        <f>'印刷・FAX　発注書'!I49</f>
        <v>179</v>
      </c>
      <c r="E51" s="75">
        <f>'入力　発注書'!Y50</f>
        <v>0</v>
      </c>
      <c r="F51" s="76">
        <f t="shared" si="0"/>
        <v>0</v>
      </c>
      <c r="G51" s="76">
        <f t="shared" si="1"/>
        <v>0</v>
      </c>
    </row>
    <row r="52" spans="1:7" ht="13.15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発注書'!H50</f>
        <v>598</v>
      </c>
      <c r="D52" s="75">
        <f>'印刷・FAX　発注書'!I50</f>
        <v>431</v>
      </c>
      <c r="E52" s="75">
        <f>'入力　発注書'!Y51</f>
        <v>0</v>
      </c>
      <c r="F52" s="76">
        <f t="shared" si="0"/>
        <v>0</v>
      </c>
      <c r="G52" s="76">
        <f t="shared" si="1"/>
        <v>0</v>
      </c>
    </row>
    <row r="53" spans="1:7" ht="13.15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発注書'!H51</f>
        <v>598</v>
      </c>
      <c r="D53" s="75">
        <f>'印刷・FAX　発注書'!I51</f>
        <v>431</v>
      </c>
      <c r="E53" s="75">
        <f>'入力　発注書'!Y52</f>
        <v>0</v>
      </c>
      <c r="F53" s="76">
        <f t="shared" si="0"/>
        <v>0</v>
      </c>
      <c r="G53" s="76">
        <f t="shared" si="1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発注書'!Y53</f>
        <v>0</v>
      </c>
      <c r="F54" s="76">
        <f t="shared" si="0"/>
        <v>0</v>
      </c>
      <c r="G54" s="76">
        <f t="shared" si="1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発注書'!Y54</f>
        <v>0</v>
      </c>
      <c r="F55" s="76">
        <f t="shared" si="0"/>
        <v>0</v>
      </c>
      <c r="G55" s="76">
        <f t="shared" si="1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発注書'!Y55</f>
        <v>0</v>
      </c>
      <c r="F56" s="76">
        <f t="shared" si="0"/>
        <v>0</v>
      </c>
      <c r="G56" s="76">
        <f t="shared" si="1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発注書'!Y56</f>
        <v>0</v>
      </c>
      <c r="F57" s="76">
        <f t="shared" si="0"/>
        <v>0</v>
      </c>
      <c r="G57" s="76">
        <f t="shared" si="1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発注書'!Y57</f>
        <v>0</v>
      </c>
      <c r="F58" s="76">
        <f t="shared" si="0"/>
        <v>0</v>
      </c>
      <c r="G58" s="76">
        <f t="shared" si="1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発注書'!Y58</f>
        <v>0</v>
      </c>
      <c r="F59" s="76">
        <f t="shared" si="0"/>
        <v>0</v>
      </c>
      <c r="G59" s="76">
        <f t="shared" si="1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発注書'!Y59</f>
        <v>0</v>
      </c>
      <c r="F60" s="76">
        <f t="shared" si="0"/>
        <v>0</v>
      </c>
      <c r="G60" s="76">
        <f t="shared" si="1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発注書'!Y60</f>
        <v>0</v>
      </c>
      <c r="F61" s="76">
        <f t="shared" si="0"/>
        <v>0</v>
      </c>
      <c r="G61" s="76">
        <f t="shared" si="1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発注書'!Y61</f>
        <v>0</v>
      </c>
      <c r="F62" s="76">
        <f t="shared" si="0"/>
        <v>0</v>
      </c>
      <c r="G62" s="76">
        <f t="shared" si="1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発注書'!Y62</f>
        <v>0</v>
      </c>
      <c r="F63" s="76">
        <f t="shared" si="0"/>
        <v>0</v>
      </c>
      <c r="G63" s="76">
        <f t="shared" si="1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発注書'!Y63</f>
        <v>0</v>
      </c>
      <c r="F64" s="76">
        <f t="shared" si="0"/>
        <v>0</v>
      </c>
      <c r="G64" s="76">
        <f t="shared" si="1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発注書'!Y64</f>
        <v>0</v>
      </c>
      <c r="F65" s="76">
        <f t="shared" si="0"/>
        <v>0</v>
      </c>
      <c r="G65" s="76">
        <f t="shared" si="1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発注書'!Y65</f>
        <v>0</v>
      </c>
      <c r="F66" s="76">
        <f t="shared" si="0"/>
        <v>0</v>
      </c>
      <c r="G66" s="76">
        <f t="shared" si="1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発注書'!Y66</f>
        <v>0</v>
      </c>
      <c r="F67" s="76">
        <f t="shared" si="0"/>
        <v>0</v>
      </c>
      <c r="G67" s="76">
        <f t="shared" si="1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発注書'!Y67</f>
        <v>0</v>
      </c>
      <c r="F68" s="76">
        <f t="shared" si="0"/>
        <v>0</v>
      </c>
      <c r="G68" s="76">
        <f t="shared" si="1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発注書'!Y68</f>
        <v>0</v>
      </c>
      <c r="F69" s="76">
        <f t="shared" si="0"/>
        <v>0</v>
      </c>
      <c r="G69" s="76">
        <f t="shared" si="1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発注書'!Y69</f>
        <v>0</v>
      </c>
      <c r="F70" s="76">
        <f t="shared" si="0"/>
        <v>0</v>
      </c>
      <c r="G70" s="76">
        <f t="shared" si="1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発注書'!X70</f>
        <v>0</v>
      </c>
      <c r="E71" s="75">
        <f>'入力　発注書'!Y70</f>
        <v>0</v>
      </c>
      <c r="F71" s="82"/>
      <c r="G71" s="83">
        <f t="shared" ref="G71" si="2">E71*D71</f>
        <v>0</v>
      </c>
    </row>
    <row r="72" spans="1:7" s="53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84" t="s">
        <v>72</v>
      </c>
      <c r="E73" s="185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3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34B-DEA6-4AD4-8BF4-20309E69C983}">
  <sheetPr>
    <tabColor rgb="FFFFFFCC"/>
  </sheetPr>
  <dimension ref="A1:L74"/>
  <sheetViews>
    <sheetView topLeftCell="A46" workbookViewId="0">
      <selection activeCell="J68" sqref="J68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45" customHeight="1">
      <c r="D5" s="187" t="s">
        <v>53</v>
      </c>
      <c r="E5" s="187"/>
      <c r="F5" s="187"/>
      <c r="G5" s="187"/>
    </row>
    <row r="6" spans="1:12" ht="13.5" customHeight="1">
      <c r="E6" s="188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62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 t="e">
        <f>G72+G73</f>
        <v>#REF!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発注書'!AA13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発注書'!AA14</f>
        <v>0</v>
      </c>
      <c r="F15" s="76">
        <f t="shared" ref="F15:F70" si="0">$E15*C15</f>
        <v>0</v>
      </c>
      <c r="G15" s="78">
        <f t="shared" ref="G15:G71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発注書'!AA15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発注書'!AA16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発注書'!AA17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発注書'!AA18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発注書'!AA19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発注書'!AA20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発注書'!AA21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発注書'!AA22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発注書'!AA23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発注書'!AA24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発注書'!AA25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発注書'!AA26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発注書'!AA27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発注書'!AA28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 t="e">
        <f>'印刷・FAX　発注書'!#REF!</f>
        <v>#REF!</v>
      </c>
      <c r="D30" s="75" t="e">
        <f>'印刷・FAX　発注書'!#REF!</f>
        <v>#REF!</v>
      </c>
      <c r="E30" s="75">
        <f>'入力　発注書'!AA29</f>
        <v>0</v>
      </c>
      <c r="F30" s="76" t="e">
        <f t="shared" si="0"/>
        <v>#REF!</v>
      </c>
      <c r="G30" s="76" t="e">
        <f t="shared" si="1"/>
        <v>#REF!</v>
      </c>
    </row>
    <row r="31" spans="1:7" ht="13.15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発注書'!H28</f>
        <v>168</v>
      </c>
      <c r="D31" s="75">
        <f>'印刷・FAX　発注書'!I28</f>
        <v>121</v>
      </c>
      <c r="E31" s="75">
        <f>'入力　発注書'!AA30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発注書'!H29</f>
        <v>148</v>
      </c>
      <c r="D32" s="75">
        <f>'印刷・FAX　発注書'!I29</f>
        <v>107</v>
      </c>
      <c r="E32" s="75">
        <f>'入力　発注書'!AA31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発注書'!H30</f>
        <v>238</v>
      </c>
      <c r="D33" s="75">
        <f>'印刷・FAX　発注書'!I30</f>
        <v>172</v>
      </c>
      <c r="E33" s="75">
        <f>'入力　発注書'!AA32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 t="e">
        <f>'印刷・FAX　発注書'!#REF!</f>
        <v>#REF!</v>
      </c>
      <c r="D34" s="75" t="e">
        <f>'印刷・FAX　発注書'!#REF!</f>
        <v>#REF!</v>
      </c>
      <c r="E34" s="75">
        <f>'入力　発注書'!AA33</f>
        <v>0</v>
      </c>
      <c r="F34" s="76" t="e">
        <f t="shared" si="0"/>
        <v>#REF!</v>
      </c>
      <c r="G34" s="78" t="e">
        <f t="shared" si="1"/>
        <v>#REF!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発注書'!H31</f>
        <v>178</v>
      </c>
      <c r="D35" s="75">
        <f>'印刷・FAX　発注書'!I31</f>
        <v>129</v>
      </c>
      <c r="E35" s="75">
        <f>'入力　発注書'!AA34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発注書'!H32</f>
        <v>248</v>
      </c>
      <c r="D36" s="75">
        <f>'印刷・FAX　発注書'!I32</f>
        <v>179</v>
      </c>
      <c r="E36" s="75">
        <f>'入力　発注書'!AA35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発注書'!H33</f>
        <v>168</v>
      </c>
      <c r="D37" s="75">
        <f>'印刷・FAX　発注書'!I33</f>
        <v>121</v>
      </c>
      <c r="E37" s="75">
        <f>'入力　発注書'!AA36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/>
      </c>
      <c r="C38" s="75">
        <f>'印刷・FAX　発注書'!H34</f>
        <v>258</v>
      </c>
      <c r="D38" s="75">
        <f>'印刷・FAX　発注書'!I34</f>
        <v>186</v>
      </c>
      <c r="E38" s="75">
        <f>'入力　発注書'!AA37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発注書'!H35</f>
        <v>198</v>
      </c>
      <c r="D39" s="75">
        <f>'印刷・FAX　発注書'!I35</f>
        <v>143</v>
      </c>
      <c r="E39" s="75">
        <f>'入力　発注書'!AA38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発注書'!H36</f>
        <v>0</v>
      </c>
      <c r="D40" s="75">
        <f>'印刷・FAX　発注書'!I36</f>
        <v>0</v>
      </c>
      <c r="E40" s="75">
        <f>'入力　発注書'!AA39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発注書'!H37</f>
        <v>178</v>
      </c>
      <c r="D41" s="75">
        <f>'印刷・FAX　発注書'!I37</f>
        <v>129</v>
      </c>
      <c r="E41" s="75">
        <f>'入力　発注書'!AA40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発注書'!H38</f>
        <v>148</v>
      </c>
      <c r="D42" s="75">
        <f>'印刷・FAX　発注書'!I38</f>
        <v>107</v>
      </c>
      <c r="E42" s="75">
        <f>'入力　発注書'!AA41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発注書'!H39</f>
        <v>158</v>
      </c>
      <c r="D43" s="75">
        <f>'印刷・FAX　発注書'!I39</f>
        <v>114</v>
      </c>
      <c r="E43" s="75">
        <f>'入力　発注書'!AA42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発注書'!H40</f>
        <v>158</v>
      </c>
      <c r="D44" s="75">
        <f>'印刷・FAX　発注書'!I40</f>
        <v>114</v>
      </c>
      <c r="E44" s="75">
        <f>'入力　発注書'!AA43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発注書'!H41</f>
        <v>158</v>
      </c>
      <c r="D45" s="75">
        <f>'印刷・FAX　発注書'!I41</f>
        <v>114</v>
      </c>
      <c r="E45" s="75">
        <f>'入力　発注書'!AA44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発注書'!H42</f>
        <v>108</v>
      </c>
      <c r="D46" s="75">
        <f>'印刷・FAX　発注書'!I42</f>
        <v>78</v>
      </c>
      <c r="E46" s="75">
        <f>'入力　発注書'!AA45</f>
        <v>0</v>
      </c>
      <c r="F46" s="76">
        <f t="shared" si="0"/>
        <v>0</v>
      </c>
      <c r="G46" s="78">
        <f t="shared" si="1"/>
        <v>0</v>
      </c>
    </row>
    <row r="47" spans="1:7" ht="13.15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発注書'!H43</f>
        <v>168</v>
      </c>
      <c r="D47" s="75">
        <f>'印刷・FAX　発注書'!I43</f>
        <v>121</v>
      </c>
      <c r="E47" s="75">
        <f>'入力　発注書'!AA46</f>
        <v>0</v>
      </c>
      <c r="F47" s="76">
        <f t="shared" si="0"/>
        <v>0</v>
      </c>
      <c r="G47" s="76">
        <f t="shared" si="1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発注書'!H44</f>
        <v>138</v>
      </c>
      <c r="D48" s="75">
        <f>'印刷・FAX　発注書'!I44</f>
        <v>100</v>
      </c>
      <c r="E48" s="75">
        <f>'入力　発注書'!AA47</f>
        <v>0</v>
      </c>
      <c r="F48" s="76">
        <f t="shared" si="0"/>
        <v>0</v>
      </c>
      <c r="G48" s="78">
        <f t="shared" si="1"/>
        <v>0</v>
      </c>
    </row>
    <row r="49" spans="1:7" ht="13.15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発注書'!H45</f>
        <v>238</v>
      </c>
      <c r="D49" s="75">
        <f>'印刷・FAX　発注書'!I45</f>
        <v>172</v>
      </c>
      <c r="E49" s="75">
        <f>'入力　発注書'!AA48</f>
        <v>0</v>
      </c>
      <c r="F49" s="76">
        <f t="shared" si="0"/>
        <v>0</v>
      </c>
      <c r="G49" s="78">
        <f t="shared" si="1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ソルダム</v>
      </c>
      <c r="C50" s="75" t="e">
        <f>'印刷・FAX　発注書'!#REF!</f>
        <v>#REF!</v>
      </c>
      <c r="D50" s="75" t="e">
        <f>'印刷・FAX　発注書'!#REF!</f>
        <v>#REF!</v>
      </c>
      <c r="E50" s="75">
        <f>'入力　発注書'!AA49</f>
        <v>0</v>
      </c>
      <c r="F50" s="76" t="e">
        <f t="shared" si="0"/>
        <v>#REF!</v>
      </c>
      <c r="G50" s="78" t="e">
        <f t="shared" si="1"/>
        <v>#REF!</v>
      </c>
    </row>
    <row r="51" spans="1:7" ht="13.15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発注書'!H46</f>
        <v>128</v>
      </c>
      <c r="D51" s="75">
        <f>'印刷・FAX　発注書'!I46</f>
        <v>93</v>
      </c>
      <c r="E51" s="75">
        <f>'入力　発注書'!AA50</f>
        <v>0</v>
      </c>
      <c r="F51" s="76">
        <f t="shared" si="0"/>
        <v>0</v>
      </c>
      <c r="G51" s="76">
        <f t="shared" si="1"/>
        <v>0</v>
      </c>
    </row>
    <row r="52" spans="1:7" ht="13.15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発注書'!H47</f>
        <v>378</v>
      </c>
      <c r="D52" s="75">
        <f>'印刷・FAX　発注書'!I47</f>
        <v>273</v>
      </c>
      <c r="E52" s="75">
        <f>'入力　発注書'!AA51</f>
        <v>0</v>
      </c>
      <c r="F52" s="76">
        <f t="shared" si="0"/>
        <v>0</v>
      </c>
      <c r="G52" s="78">
        <f t="shared" si="1"/>
        <v>0</v>
      </c>
    </row>
    <row r="53" spans="1:7" ht="13.15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発注書'!H48</f>
        <v>398</v>
      </c>
      <c r="D53" s="75">
        <f>'印刷・FAX　発注書'!I48</f>
        <v>287</v>
      </c>
      <c r="E53" s="75">
        <f>'入力　発注書'!AA52</f>
        <v>0</v>
      </c>
      <c r="F53" s="76">
        <f t="shared" si="0"/>
        <v>0</v>
      </c>
      <c r="G53" s="78">
        <f t="shared" si="1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 t="e">
        <f>'印刷・FAX　発注書'!#REF!</f>
        <v>#REF!</v>
      </c>
      <c r="D54" s="75" t="e">
        <f>'印刷・FAX　発注書'!#REF!</f>
        <v>#REF!</v>
      </c>
      <c r="E54" s="75">
        <f>'入力　発注書'!AA53</f>
        <v>0</v>
      </c>
      <c r="F54" s="76" t="e">
        <f t="shared" si="0"/>
        <v>#REF!</v>
      </c>
      <c r="G54" s="78" t="e">
        <f t="shared" si="1"/>
        <v>#REF!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発注書'!H49</f>
        <v>248</v>
      </c>
      <c r="D55" s="75">
        <f>'印刷・FAX　発注書'!I49</f>
        <v>179</v>
      </c>
      <c r="E55" s="75">
        <f>'入力　発注書'!AA54</f>
        <v>0</v>
      </c>
      <c r="F55" s="76">
        <f t="shared" si="0"/>
        <v>0</v>
      </c>
      <c r="G55" s="76">
        <f t="shared" si="1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 t="e">
        <f>'印刷・FAX　発注書'!#REF!</f>
        <v>#REF!</v>
      </c>
      <c r="D56" s="75" t="e">
        <f>'印刷・FAX　発注書'!#REF!</f>
        <v>#REF!</v>
      </c>
      <c r="E56" s="75">
        <f>'入力　発注書'!AA55</f>
        <v>0</v>
      </c>
      <c r="F56" s="76" t="e">
        <f t="shared" si="0"/>
        <v>#REF!</v>
      </c>
      <c r="G56" s="78" t="e">
        <f t="shared" si="1"/>
        <v>#REF!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発注書'!H50</f>
        <v>598</v>
      </c>
      <c r="D57" s="75">
        <f>'印刷・FAX　発注書'!I50</f>
        <v>431</v>
      </c>
      <c r="E57" s="75">
        <f>'入力　発注書'!AA56</f>
        <v>0</v>
      </c>
      <c r="F57" s="76">
        <f t="shared" si="0"/>
        <v>0</v>
      </c>
      <c r="G57" s="78">
        <f t="shared" si="1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発注書'!H51</f>
        <v>598</v>
      </c>
      <c r="D58" s="75">
        <f>'印刷・FAX　発注書'!I51</f>
        <v>431</v>
      </c>
      <c r="E58" s="75">
        <f>'入力　発注書'!AA57</f>
        <v>0</v>
      </c>
      <c r="F58" s="76">
        <f t="shared" si="0"/>
        <v>0</v>
      </c>
      <c r="G58" s="78">
        <f t="shared" si="1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発注書'!H52</f>
        <v>0</v>
      </c>
      <c r="D59" s="75">
        <f>'印刷・FAX　発注書'!I52</f>
        <v>0</v>
      </c>
      <c r="E59" s="75">
        <f>'入力　発注書'!AA58</f>
        <v>0</v>
      </c>
      <c r="F59" s="76">
        <f t="shared" si="0"/>
        <v>0</v>
      </c>
      <c r="G59" s="78">
        <f t="shared" si="1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発注書'!H53</f>
        <v>0</v>
      </c>
      <c r="D60" s="75">
        <f>'印刷・FAX　発注書'!I53</f>
        <v>0</v>
      </c>
      <c r="E60" s="75">
        <f>'入力　発注書'!AA59</f>
        <v>0</v>
      </c>
      <c r="F60" s="76">
        <f t="shared" si="0"/>
        <v>0</v>
      </c>
      <c r="G60" s="78">
        <f t="shared" si="1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発注書'!H54</f>
        <v>0</v>
      </c>
      <c r="D61" s="75">
        <f>'印刷・FAX　発注書'!I54</f>
        <v>0</v>
      </c>
      <c r="E61" s="75">
        <f>'入力　発注書'!AA60</f>
        <v>0</v>
      </c>
      <c r="F61" s="76">
        <f t="shared" si="0"/>
        <v>0</v>
      </c>
      <c r="G61" s="78">
        <f t="shared" si="1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発注書'!H55</f>
        <v>0</v>
      </c>
      <c r="D62" s="75">
        <f>'印刷・FAX　発注書'!I55</f>
        <v>0</v>
      </c>
      <c r="E62" s="75">
        <f>'入力　発注書'!AA61</f>
        <v>0</v>
      </c>
      <c r="F62" s="76">
        <f t="shared" si="0"/>
        <v>0</v>
      </c>
      <c r="G62" s="78">
        <f t="shared" si="1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発注書'!H56</f>
        <v>0</v>
      </c>
      <c r="D63" s="75">
        <f>'印刷・FAX　発注書'!I56</f>
        <v>0</v>
      </c>
      <c r="E63" s="75">
        <f>'入力　発注書'!AA62</f>
        <v>0</v>
      </c>
      <c r="F63" s="76">
        <f t="shared" si="0"/>
        <v>0</v>
      </c>
      <c r="G63" s="78">
        <f t="shared" si="1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発注書'!H57</f>
        <v>0</v>
      </c>
      <c r="D64" s="75">
        <f>'印刷・FAX　発注書'!I57</f>
        <v>0</v>
      </c>
      <c r="E64" s="75">
        <f>'入力　発注書'!AA63</f>
        <v>0</v>
      </c>
      <c r="F64" s="76">
        <f t="shared" si="0"/>
        <v>0</v>
      </c>
      <c r="G64" s="78">
        <f t="shared" si="1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発注書'!H58</f>
        <v>0</v>
      </c>
      <c r="D65" s="75">
        <f>'印刷・FAX　発注書'!I58</f>
        <v>0</v>
      </c>
      <c r="E65" s="75">
        <f>'入力　発注書'!AA64</f>
        <v>0</v>
      </c>
      <c r="F65" s="76">
        <f t="shared" si="0"/>
        <v>0</v>
      </c>
      <c r="G65" s="78">
        <f t="shared" si="1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発注書'!H59</f>
        <v>0</v>
      </c>
      <c r="D66" s="75">
        <f>'印刷・FAX　発注書'!I59</f>
        <v>0</v>
      </c>
      <c r="E66" s="75">
        <f>'入力　発注書'!AA65</f>
        <v>0</v>
      </c>
      <c r="F66" s="76">
        <f t="shared" si="0"/>
        <v>0</v>
      </c>
      <c r="G66" s="78">
        <f t="shared" si="1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発注書'!H60</f>
        <v>0</v>
      </c>
      <c r="D67" s="75">
        <f>'印刷・FAX　発注書'!I60</f>
        <v>0</v>
      </c>
      <c r="E67" s="75">
        <f>'入力　発注書'!AA66</f>
        <v>0</v>
      </c>
      <c r="F67" s="76">
        <f t="shared" si="0"/>
        <v>0</v>
      </c>
      <c r="G67" s="78">
        <f t="shared" si="1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発注書'!H61</f>
        <v>0</v>
      </c>
      <c r="D68" s="75">
        <f>'印刷・FAX　発注書'!I61</f>
        <v>0</v>
      </c>
      <c r="E68" s="75">
        <f>'入力　発注書'!AA67</f>
        <v>0</v>
      </c>
      <c r="F68" s="76">
        <f t="shared" si="0"/>
        <v>0</v>
      </c>
      <c r="G68" s="78">
        <f t="shared" si="1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発注書'!H62</f>
        <v>0</v>
      </c>
      <c r="D69" s="75">
        <f>'印刷・FAX　発注書'!I62</f>
        <v>0</v>
      </c>
      <c r="E69" s="75">
        <f>'入力　発注書'!AA68</f>
        <v>0</v>
      </c>
      <c r="F69" s="76">
        <f t="shared" si="0"/>
        <v>0</v>
      </c>
      <c r="G69" s="78">
        <f t="shared" si="1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発注書'!H63</f>
        <v>0</v>
      </c>
      <c r="D70" s="75">
        <f>'印刷・FAX　発注書'!I63</f>
        <v>0</v>
      </c>
      <c r="E70" s="75">
        <f>'入力　発注書'!AA69</f>
        <v>0</v>
      </c>
      <c r="F70" s="76">
        <f t="shared" si="0"/>
        <v>0</v>
      </c>
      <c r="G70" s="78">
        <f t="shared" si="1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発注書'!Z70</f>
        <v>0</v>
      </c>
      <c r="E71" s="82">
        <f>IF(D71&lt;&gt;0,1,0)</f>
        <v>0</v>
      </c>
      <c r="F71" s="82"/>
      <c r="G71" s="83">
        <f t="shared" si="1"/>
        <v>0</v>
      </c>
    </row>
    <row r="72" spans="1:7" s="53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84" t="s">
        <v>72</v>
      </c>
      <c r="E73" s="185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BD2-722D-4F1F-95BC-CA982854E6A7}">
  <sheetPr codeName="Sheet2" filterMode="1">
    <tabColor rgb="FFFFFFCC"/>
  </sheetPr>
  <dimension ref="A1:L74"/>
  <sheetViews>
    <sheetView topLeftCell="A4" workbookViewId="0">
      <selection activeCell="J66" sqref="J66"/>
    </sheetView>
  </sheetViews>
  <sheetFormatPr defaultColWidth="8.75" defaultRowHeight="18.75"/>
  <cols>
    <col min="1" max="1" width="3.125" style="1" customWidth="1"/>
    <col min="2" max="2" width="22.375" style="1" customWidth="1"/>
    <col min="3" max="3" width="6.375" style="1" customWidth="1"/>
    <col min="4" max="4" width="7" style="1" customWidth="1"/>
    <col min="5" max="5" width="6.625" style="1" customWidth="1"/>
    <col min="6" max="6" width="7.875" style="1" customWidth="1"/>
    <col min="7" max="7" width="8.375" style="1" customWidth="1"/>
    <col min="8" max="8" width="0.875" style="1" customWidth="1"/>
    <col min="9" max="16384" width="8.75" style="1"/>
  </cols>
  <sheetData>
    <row r="1" spans="1:12" ht="13.9" customHeight="1">
      <c r="G1" s="35" t="s">
        <v>51</v>
      </c>
    </row>
    <row r="2" spans="1:12" customFormat="1" ht="24" customHeight="1" thickBot="1">
      <c r="B2" s="85" t="s">
        <v>65</v>
      </c>
      <c r="C2" s="179">
        <f>'入力　発注書'!G8</f>
        <v>46224</v>
      </c>
      <c r="D2" s="179"/>
      <c r="E2" s="179"/>
      <c r="F2" s="1"/>
    </row>
    <row r="3" spans="1:12" ht="9.6" customHeight="1" thickTop="1"/>
    <row r="4" spans="1:12" ht="14.45" customHeight="1">
      <c r="D4" s="186" t="s">
        <v>52</v>
      </c>
      <c r="E4" s="186"/>
      <c r="F4" s="186"/>
      <c r="G4" s="186"/>
    </row>
    <row r="5" spans="1:12" ht="14.25" customHeight="1">
      <c r="D5" s="187" t="s">
        <v>53</v>
      </c>
      <c r="E5" s="187"/>
      <c r="F5" s="187"/>
      <c r="G5" s="187"/>
    </row>
    <row r="6" spans="1:12" ht="13.5" customHeight="1">
      <c r="E6" s="212" t="s">
        <v>55</v>
      </c>
      <c r="F6" s="188"/>
      <c r="G6" s="188"/>
    </row>
    <row r="7" spans="1:12" ht="13.5" customHeight="1">
      <c r="B7" s="2"/>
      <c r="C7" s="2"/>
      <c r="D7" s="29"/>
      <c r="E7" s="188" t="s">
        <v>56</v>
      </c>
      <c r="F7" s="188"/>
      <c r="G7" s="188"/>
      <c r="K7" s="8"/>
      <c r="L7" s="8"/>
    </row>
    <row r="8" spans="1:12" s="4" customFormat="1" ht="24.6" customHeight="1" thickBot="1">
      <c r="B8" s="86" t="s">
        <v>0</v>
      </c>
      <c r="C8" s="178" t="s">
        <v>129</v>
      </c>
      <c r="D8" s="178"/>
      <c r="E8" s="178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80" t="e">
        <f>G72+G73</f>
        <v>#REF!</v>
      </c>
      <c r="D11" s="180"/>
      <c r="E11" s="181"/>
      <c r="F11" s="189" t="s">
        <v>80</v>
      </c>
      <c r="G11" s="190"/>
    </row>
    <row r="12" spans="1:12" ht="16.5" customHeight="1" thickTop="1">
      <c r="A12" s="191"/>
      <c r="B12" s="193" t="s">
        <v>63</v>
      </c>
      <c r="C12" s="195" t="s">
        <v>78</v>
      </c>
      <c r="D12" s="195"/>
      <c r="E12" s="196" t="s">
        <v>64</v>
      </c>
      <c r="F12" s="198" t="s">
        <v>77</v>
      </c>
      <c r="G12" s="198"/>
    </row>
    <row r="13" spans="1:12" ht="16.5" customHeight="1">
      <c r="A13" s="192"/>
      <c r="B13" s="194"/>
      <c r="C13" s="73" t="s">
        <v>75</v>
      </c>
      <c r="D13" s="72" t="s">
        <v>76</v>
      </c>
      <c r="E13" s="197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98</v>
      </c>
      <c r="D14" s="75">
        <f>'印刷・FAX　発注書'!I13</f>
        <v>71</v>
      </c>
      <c r="E14" s="75">
        <f>'入力　発注書'!O13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発注書'!O14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hidden="1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発注書'!O15</f>
        <v>0</v>
      </c>
      <c r="F16" s="76" t="e">
        <f t="shared" si="0"/>
        <v>#REF!</v>
      </c>
      <c r="G16" s="76" t="e">
        <f t="shared" si="1"/>
        <v>#REF!</v>
      </c>
    </row>
    <row r="17" spans="1:7" ht="12.6" hidden="1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158</v>
      </c>
      <c r="D17" s="75">
        <f>'印刷・FAX　発注書'!I15</f>
        <v>114</v>
      </c>
      <c r="E17" s="75">
        <f>'入力　発注書'!O16</f>
        <v>0</v>
      </c>
      <c r="F17" s="76">
        <f t="shared" si="0"/>
        <v>0</v>
      </c>
      <c r="G17" s="78">
        <f t="shared" si="1"/>
        <v>0</v>
      </c>
    </row>
    <row r="18" spans="1:7" ht="13.15" hidden="1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発注書'!O17</f>
        <v>0</v>
      </c>
      <c r="F18" s="76">
        <f t="shared" si="0"/>
        <v>0</v>
      </c>
      <c r="G18" s="78">
        <f t="shared" si="1"/>
        <v>0</v>
      </c>
    </row>
    <row r="19" spans="1:7" ht="13.15" hidden="1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発注書'!O18</f>
        <v>0</v>
      </c>
      <c r="F19" s="76">
        <f t="shared" si="0"/>
        <v>0</v>
      </c>
      <c r="G19" s="76">
        <f t="shared" si="1"/>
        <v>0</v>
      </c>
    </row>
    <row r="20" spans="1:7" ht="13.15" hidden="1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発注書'!O19</f>
        <v>0</v>
      </c>
      <c r="F20" s="76">
        <f t="shared" si="0"/>
        <v>0</v>
      </c>
      <c r="G20" s="78">
        <f t="shared" si="1"/>
        <v>0</v>
      </c>
    </row>
    <row r="21" spans="1:7" ht="13.15" hidden="1" customHeight="1">
      <c r="A21" s="77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発注書'!O20</f>
        <v>0</v>
      </c>
      <c r="F21" s="76">
        <f t="shared" si="0"/>
        <v>0</v>
      </c>
      <c r="G21" s="76">
        <f t="shared" si="1"/>
        <v>0</v>
      </c>
    </row>
    <row r="22" spans="1:7" ht="13.15" hidden="1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238</v>
      </c>
      <c r="D22" s="75">
        <f>'印刷・FAX　発注書'!I20</f>
        <v>215</v>
      </c>
      <c r="E22" s="75">
        <f>'入力　発注書'!O21</f>
        <v>0</v>
      </c>
      <c r="F22" s="76">
        <f t="shared" si="0"/>
        <v>0</v>
      </c>
      <c r="G22" s="78">
        <f t="shared" si="1"/>
        <v>0</v>
      </c>
    </row>
    <row r="23" spans="1:7" ht="13.15" hidden="1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258</v>
      </c>
      <c r="D23" s="75">
        <f>'印刷・FAX　発注書'!I21</f>
        <v>186</v>
      </c>
      <c r="E23" s="75">
        <f>'入力　発注書'!O22</f>
        <v>0</v>
      </c>
      <c r="F23" s="76">
        <f t="shared" si="0"/>
        <v>0</v>
      </c>
      <c r="G23" s="78">
        <f t="shared" si="1"/>
        <v>0</v>
      </c>
    </row>
    <row r="24" spans="1:7" ht="13.15" hidden="1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378</v>
      </c>
      <c r="D24" s="75">
        <f>'印刷・FAX　発注書'!I22</f>
        <v>287</v>
      </c>
      <c r="E24" s="75">
        <f>'入力　発注書'!O23</f>
        <v>0</v>
      </c>
      <c r="F24" s="76">
        <f t="shared" si="0"/>
        <v>0</v>
      </c>
      <c r="G24" s="78">
        <f t="shared" si="1"/>
        <v>0</v>
      </c>
    </row>
    <row r="25" spans="1:7" ht="13.15" hidden="1" customHeight="1">
      <c r="A25" s="77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発注書'!O24</f>
        <v>0</v>
      </c>
      <c r="F25" s="76">
        <f t="shared" si="0"/>
        <v>0</v>
      </c>
      <c r="G25" s="76">
        <f t="shared" si="1"/>
        <v>0</v>
      </c>
    </row>
    <row r="26" spans="1:7" ht="13.15" hidden="1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発注書'!O25</f>
        <v>0</v>
      </c>
      <c r="F26" s="76">
        <f t="shared" si="0"/>
        <v>0</v>
      </c>
      <c r="G26" s="78">
        <f t="shared" si="1"/>
        <v>0</v>
      </c>
    </row>
    <row r="27" spans="1:7" ht="13.15" hidden="1" customHeight="1">
      <c r="A27" s="77">
        <f>'入力　発注書'!A26</f>
        <v>14</v>
      </c>
      <c r="B27" s="74" t="str">
        <f>'入力　発注書'!B26</f>
        <v>キャベツ</v>
      </c>
      <c r="C27" s="75">
        <f>'印刷・FAX　発注書'!H25</f>
        <v>138</v>
      </c>
      <c r="D27" s="75">
        <f>'印刷・FAX　発注書'!I25</f>
        <v>100</v>
      </c>
      <c r="E27" s="75">
        <f>'入力　発注書'!O26</f>
        <v>0</v>
      </c>
      <c r="F27" s="76">
        <f t="shared" si="0"/>
        <v>0</v>
      </c>
      <c r="G27" s="76">
        <f t="shared" si="1"/>
        <v>0</v>
      </c>
    </row>
    <row r="28" spans="1:7" ht="13.15" hidden="1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358</v>
      </c>
      <c r="D28" s="75">
        <f>'印刷・FAX　発注書'!I26</f>
        <v>258</v>
      </c>
      <c r="E28" s="75">
        <f>'入力　発注書'!O27</f>
        <v>0</v>
      </c>
      <c r="F28" s="76">
        <f t="shared" si="0"/>
        <v>0</v>
      </c>
      <c r="G28" s="78">
        <f t="shared" si="1"/>
        <v>0</v>
      </c>
    </row>
    <row r="29" spans="1:7" ht="13.15" hidden="1" customHeight="1">
      <c r="A29" s="77">
        <f>'入力　発注書'!A28</f>
        <v>16</v>
      </c>
      <c r="B29" s="74" t="str">
        <f>'入力　発注書'!B28</f>
        <v>白菜1/2</v>
      </c>
      <c r="C29" s="75">
        <f>'印刷・FAX　発注書'!H27</f>
        <v>108</v>
      </c>
      <c r="D29" s="75">
        <f>'印刷・FAX　発注書'!I27</f>
        <v>78</v>
      </c>
      <c r="E29" s="75">
        <f>'入力　発注書'!O28</f>
        <v>0</v>
      </c>
      <c r="F29" s="76">
        <f t="shared" si="0"/>
        <v>0</v>
      </c>
      <c r="G29" s="78">
        <f t="shared" si="1"/>
        <v>0</v>
      </c>
    </row>
    <row r="30" spans="1:7" ht="13.15" hidden="1" customHeight="1">
      <c r="A30" s="77">
        <f>'入力　発注書'!A29</f>
        <v>17</v>
      </c>
      <c r="B30" s="74" t="str">
        <f>'入力　発注書'!B29</f>
        <v>小松菜</v>
      </c>
      <c r="C30" s="75" t="e">
        <f>'印刷・FAX　発注書'!#REF!</f>
        <v>#REF!</v>
      </c>
      <c r="D30" s="75" t="e">
        <f>'印刷・FAX　発注書'!#REF!</f>
        <v>#REF!</v>
      </c>
      <c r="E30" s="75">
        <f>'入力　発注書'!O29</f>
        <v>0</v>
      </c>
      <c r="F30" s="76" t="e">
        <f t="shared" si="0"/>
        <v>#REF!</v>
      </c>
      <c r="G30" s="76" t="e">
        <f t="shared" si="1"/>
        <v>#REF!</v>
      </c>
    </row>
    <row r="31" spans="1:7" ht="13.15" hidden="1" customHeight="1">
      <c r="A31" s="77">
        <f>'入力　発注書'!A30</f>
        <v>18</v>
      </c>
      <c r="B31" s="74" t="str">
        <f>'入力　発注書'!B30</f>
        <v>大根1/2</v>
      </c>
      <c r="C31" s="75">
        <f>'印刷・FAX　発注書'!H28</f>
        <v>168</v>
      </c>
      <c r="D31" s="75">
        <f>'印刷・FAX　発注書'!I28</f>
        <v>121</v>
      </c>
      <c r="E31" s="75">
        <f>'入力　発注書'!O30</f>
        <v>0</v>
      </c>
      <c r="F31" s="76">
        <f t="shared" si="0"/>
        <v>0</v>
      </c>
      <c r="G31" s="78">
        <f t="shared" si="1"/>
        <v>0</v>
      </c>
    </row>
    <row r="32" spans="1:7" ht="13.15" hidden="1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発注書'!H29</f>
        <v>148</v>
      </c>
      <c r="D32" s="75">
        <f>'印刷・FAX　発注書'!I29</f>
        <v>107</v>
      </c>
      <c r="E32" s="75">
        <f>'入力　発注書'!O31</f>
        <v>0</v>
      </c>
      <c r="F32" s="76">
        <f t="shared" si="0"/>
        <v>0</v>
      </c>
      <c r="G32" s="78">
        <f t="shared" si="1"/>
        <v>0</v>
      </c>
    </row>
    <row r="33" spans="1:7" ht="13.15" hidden="1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発注書'!H30</f>
        <v>238</v>
      </c>
      <c r="D33" s="75">
        <f>'印刷・FAX　発注書'!I30</f>
        <v>172</v>
      </c>
      <c r="E33" s="75">
        <f>'入力　発注書'!O32</f>
        <v>0</v>
      </c>
      <c r="F33" s="76">
        <f t="shared" si="0"/>
        <v>0</v>
      </c>
      <c r="G33" s="78">
        <f t="shared" si="1"/>
        <v>0</v>
      </c>
    </row>
    <row r="34" spans="1:7" ht="13.15" hidden="1" customHeight="1">
      <c r="A34" s="77">
        <f>'入力　発注書'!A33</f>
        <v>21</v>
      </c>
      <c r="B34" s="74" t="str">
        <f>'入力　発注書'!B33</f>
        <v>国産生姜</v>
      </c>
      <c r="C34" s="75" t="e">
        <f>'印刷・FAX　発注書'!#REF!</f>
        <v>#REF!</v>
      </c>
      <c r="D34" s="75" t="e">
        <f>'印刷・FAX　発注書'!#REF!</f>
        <v>#REF!</v>
      </c>
      <c r="E34" s="75">
        <f>'入力　発注書'!O33</f>
        <v>0</v>
      </c>
      <c r="F34" s="76" t="e">
        <f t="shared" si="0"/>
        <v>#REF!</v>
      </c>
      <c r="G34" s="78" t="e">
        <f t="shared" si="1"/>
        <v>#REF!</v>
      </c>
    </row>
    <row r="35" spans="1:7" ht="13.15" hidden="1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発注書'!H31</f>
        <v>178</v>
      </c>
      <c r="D35" s="75">
        <f>'印刷・FAX　発注書'!I31</f>
        <v>129</v>
      </c>
      <c r="E35" s="75">
        <f>'入力　発注書'!O34</f>
        <v>0</v>
      </c>
      <c r="F35" s="76">
        <f t="shared" si="0"/>
        <v>0</v>
      </c>
      <c r="G35" s="78">
        <f t="shared" si="1"/>
        <v>0</v>
      </c>
    </row>
    <row r="36" spans="1:7" ht="13.15" hidden="1" customHeight="1">
      <c r="A36" s="77">
        <f>'入力　発注書'!A35</f>
        <v>23</v>
      </c>
      <c r="B36" s="74" t="str">
        <f>'入力　発注書'!B35</f>
        <v>さつま芋</v>
      </c>
      <c r="C36" s="75">
        <f>'印刷・FAX　発注書'!H32</f>
        <v>248</v>
      </c>
      <c r="D36" s="75">
        <f>'印刷・FAX　発注書'!I32</f>
        <v>179</v>
      </c>
      <c r="E36" s="75">
        <f>'入力　発注書'!O35</f>
        <v>0</v>
      </c>
      <c r="F36" s="76">
        <f t="shared" si="0"/>
        <v>0</v>
      </c>
      <c r="G36" s="78">
        <f t="shared" si="1"/>
        <v>0</v>
      </c>
    </row>
    <row r="37" spans="1:7" ht="13.15" hidden="1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発注書'!H33</f>
        <v>168</v>
      </c>
      <c r="D37" s="75">
        <f>'印刷・FAX　発注書'!I33</f>
        <v>121</v>
      </c>
      <c r="E37" s="75">
        <f>'入力　発注書'!O36</f>
        <v>0</v>
      </c>
      <c r="F37" s="76">
        <f t="shared" si="0"/>
        <v>0</v>
      </c>
      <c r="G37" s="78">
        <f t="shared" si="1"/>
        <v>0</v>
      </c>
    </row>
    <row r="38" spans="1:7" ht="13.15" hidden="1" customHeight="1">
      <c r="A38" s="77">
        <f>'入力　発注書'!A37</f>
        <v>25</v>
      </c>
      <c r="B38" s="74" t="str">
        <f>'入力　発注書'!B37</f>
        <v/>
      </c>
      <c r="C38" s="75">
        <f>'印刷・FAX　発注書'!H34</f>
        <v>258</v>
      </c>
      <c r="D38" s="75">
        <f>'印刷・FAX　発注書'!I34</f>
        <v>186</v>
      </c>
      <c r="E38" s="75">
        <f>'入力　発注書'!O37</f>
        <v>0</v>
      </c>
      <c r="F38" s="76">
        <f t="shared" si="0"/>
        <v>0</v>
      </c>
      <c r="G38" s="78">
        <f t="shared" si="1"/>
        <v>0</v>
      </c>
    </row>
    <row r="39" spans="1:7" ht="13.15" hidden="1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発注書'!H35</f>
        <v>198</v>
      </c>
      <c r="D39" s="75">
        <f>'印刷・FAX　発注書'!I35</f>
        <v>143</v>
      </c>
      <c r="E39" s="75">
        <f>'入力　発注書'!O38</f>
        <v>0</v>
      </c>
      <c r="F39" s="76">
        <f t="shared" si="0"/>
        <v>0</v>
      </c>
      <c r="G39" s="78">
        <f t="shared" si="1"/>
        <v>0</v>
      </c>
    </row>
    <row r="40" spans="1:7" ht="13.15" hidden="1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発注書'!H36</f>
        <v>0</v>
      </c>
      <c r="D40" s="75">
        <f>'印刷・FAX　発注書'!I36</f>
        <v>0</v>
      </c>
      <c r="E40" s="75">
        <f>'入力　発注書'!O39</f>
        <v>0</v>
      </c>
      <c r="F40" s="76">
        <f t="shared" si="0"/>
        <v>0</v>
      </c>
      <c r="G40" s="78">
        <f t="shared" si="1"/>
        <v>0</v>
      </c>
    </row>
    <row r="41" spans="1:7" ht="13.15" hidden="1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発注書'!H37</f>
        <v>178</v>
      </c>
      <c r="D41" s="75">
        <f>'印刷・FAX　発注書'!I37</f>
        <v>129</v>
      </c>
      <c r="E41" s="75">
        <f>'入力　発注書'!O40</f>
        <v>0</v>
      </c>
      <c r="F41" s="76">
        <f t="shared" si="0"/>
        <v>0</v>
      </c>
      <c r="G41" s="76">
        <f t="shared" si="1"/>
        <v>0</v>
      </c>
    </row>
    <row r="42" spans="1:7" ht="13.15" hidden="1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発注書'!H38</f>
        <v>148</v>
      </c>
      <c r="D42" s="75">
        <f>'印刷・FAX　発注書'!I38</f>
        <v>107</v>
      </c>
      <c r="E42" s="75">
        <f>'入力　発注書'!O41</f>
        <v>0</v>
      </c>
      <c r="F42" s="76">
        <f t="shared" si="0"/>
        <v>0</v>
      </c>
      <c r="G42" s="78">
        <f t="shared" si="1"/>
        <v>0</v>
      </c>
    </row>
    <row r="43" spans="1:7" ht="13.15" hidden="1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発注書'!H39</f>
        <v>158</v>
      </c>
      <c r="D43" s="75">
        <f>'印刷・FAX　発注書'!I39</f>
        <v>114</v>
      </c>
      <c r="E43" s="75">
        <f>'入力　発注書'!O42</f>
        <v>0</v>
      </c>
      <c r="F43" s="76">
        <f t="shared" si="0"/>
        <v>0</v>
      </c>
      <c r="G43" s="78">
        <f t="shared" si="1"/>
        <v>0</v>
      </c>
    </row>
    <row r="44" spans="1:7" ht="13.15" hidden="1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発注書'!H40</f>
        <v>158</v>
      </c>
      <c r="D44" s="75">
        <f>'印刷・FAX　発注書'!I40</f>
        <v>114</v>
      </c>
      <c r="E44" s="75">
        <f>'入力　発注書'!O43</f>
        <v>0</v>
      </c>
      <c r="F44" s="76">
        <f t="shared" si="0"/>
        <v>0</v>
      </c>
      <c r="G44" s="78">
        <f t="shared" si="1"/>
        <v>0</v>
      </c>
    </row>
    <row r="45" spans="1:7" ht="13.15" hidden="1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発注書'!H41</f>
        <v>158</v>
      </c>
      <c r="D45" s="75">
        <f>'印刷・FAX　発注書'!I41</f>
        <v>114</v>
      </c>
      <c r="E45" s="75">
        <f>'入力　発注書'!O44</f>
        <v>0</v>
      </c>
      <c r="F45" s="76">
        <f t="shared" si="0"/>
        <v>0</v>
      </c>
      <c r="G45" s="78">
        <f t="shared" si="1"/>
        <v>0</v>
      </c>
    </row>
    <row r="46" spans="1:7" ht="13.15" hidden="1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発注書'!H42</f>
        <v>108</v>
      </c>
      <c r="D46" s="75">
        <f>'印刷・FAX　発注書'!I42</f>
        <v>78</v>
      </c>
      <c r="E46" s="75">
        <f>'入力　発注書'!O45</f>
        <v>0</v>
      </c>
      <c r="F46" s="76">
        <f t="shared" si="0"/>
        <v>0</v>
      </c>
      <c r="G46" s="78">
        <f t="shared" ref="G46:G71" si="2">E46*D46</f>
        <v>0</v>
      </c>
    </row>
    <row r="47" spans="1:7" ht="13.15" hidden="1" customHeight="1">
      <c r="A47" s="71">
        <f>'入力　発注書'!A46</f>
        <v>34</v>
      </c>
      <c r="B47" s="74" t="str">
        <f>'入力　発注書'!B46</f>
        <v>甘夏</v>
      </c>
      <c r="C47" s="75">
        <f>'印刷・FAX　発注書'!H43</f>
        <v>168</v>
      </c>
      <c r="D47" s="75">
        <f>'印刷・FAX　発注書'!I43</f>
        <v>121</v>
      </c>
      <c r="E47" s="75">
        <f>'入力　発注書'!O46</f>
        <v>0</v>
      </c>
      <c r="F47" s="76">
        <f t="shared" si="0"/>
        <v>0</v>
      </c>
      <c r="G47" s="76">
        <f t="shared" si="2"/>
        <v>0</v>
      </c>
    </row>
    <row r="48" spans="1:7" ht="13.15" hidden="1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発注書'!H44</f>
        <v>138</v>
      </c>
      <c r="D48" s="75">
        <f>'印刷・FAX　発注書'!I44</f>
        <v>100</v>
      </c>
      <c r="E48" s="75">
        <f>'入力　発注書'!O47</f>
        <v>0</v>
      </c>
      <c r="F48" s="76">
        <f t="shared" si="0"/>
        <v>0</v>
      </c>
      <c r="G48" s="78">
        <f t="shared" si="2"/>
        <v>0</v>
      </c>
    </row>
    <row r="49" spans="1:7" ht="13.15" hidden="1" customHeight="1">
      <c r="A49" s="77">
        <f>'入力　発注書'!A48</f>
        <v>36</v>
      </c>
      <c r="B49" s="74" t="str">
        <f>'入力　発注書'!B48</f>
        <v>温州みかん</v>
      </c>
      <c r="C49" s="75">
        <f>'印刷・FAX　発注書'!H45</f>
        <v>238</v>
      </c>
      <c r="D49" s="75">
        <f>'印刷・FAX　発注書'!I45</f>
        <v>172</v>
      </c>
      <c r="E49" s="75">
        <f>'入力　発注書'!O48</f>
        <v>0</v>
      </c>
      <c r="F49" s="76">
        <f t="shared" si="0"/>
        <v>0</v>
      </c>
      <c r="G49" s="78">
        <f t="shared" si="2"/>
        <v>0</v>
      </c>
    </row>
    <row r="50" spans="1:7" ht="13.15" hidden="1" customHeight="1">
      <c r="A50" s="77">
        <f>'入力　発注書'!A49</f>
        <v>37</v>
      </c>
      <c r="B50" s="74" t="str">
        <f>'入力　発注書'!B49</f>
        <v>ソルダム</v>
      </c>
      <c r="C50" s="75" t="e">
        <f>'印刷・FAX　発注書'!#REF!</f>
        <v>#REF!</v>
      </c>
      <c r="D50" s="75" t="e">
        <f>'印刷・FAX　発注書'!#REF!</f>
        <v>#REF!</v>
      </c>
      <c r="E50" s="75">
        <f>'入力　発注書'!O49</f>
        <v>0</v>
      </c>
      <c r="F50" s="76" t="e">
        <f t="shared" si="0"/>
        <v>#REF!</v>
      </c>
      <c r="G50" s="78" t="e">
        <f t="shared" si="2"/>
        <v>#REF!</v>
      </c>
    </row>
    <row r="51" spans="1:7" ht="13.15" hidden="1" customHeight="1">
      <c r="A51" s="71">
        <f>'入力　発注書'!A50</f>
        <v>38</v>
      </c>
      <c r="B51" s="74" t="str">
        <f>'入力　発注書'!B50</f>
        <v>オレンジ2個</v>
      </c>
      <c r="C51" s="75">
        <f>'印刷・FAX　発注書'!H46</f>
        <v>128</v>
      </c>
      <c r="D51" s="75">
        <f>'印刷・FAX　発注書'!I46</f>
        <v>93</v>
      </c>
      <c r="E51" s="75">
        <f>'入力　発注書'!O50</f>
        <v>0</v>
      </c>
      <c r="F51" s="76">
        <f t="shared" si="0"/>
        <v>0</v>
      </c>
      <c r="G51" s="76">
        <f t="shared" si="2"/>
        <v>0</v>
      </c>
    </row>
    <row r="52" spans="1:7" ht="13.15" hidden="1" customHeight="1">
      <c r="A52" s="77">
        <f>'入力　発注書'!A51</f>
        <v>39</v>
      </c>
      <c r="B52" s="74" t="str">
        <f>'入力　発注書'!B51</f>
        <v>リンゴ</v>
      </c>
      <c r="C52" s="75">
        <f>'印刷・FAX　発注書'!H47</f>
        <v>378</v>
      </c>
      <c r="D52" s="75">
        <f>'印刷・FAX　発注書'!I47</f>
        <v>273</v>
      </c>
      <c r="E52" s="75">
        <f>'入力　発注書'!O51</f>
        <v>0</v>
      </c>
      <c r="F52" s="76">
        <f t="shared" si="0"/>
        <v>0</v>
      </c>
      <c r="G52" s="78">
        <f t="shared" si="2"/>
        <v>0</v>
      </c>
    </row>
    <row r="53" spans="1:7" ht="13.15" hidden="1" customHeight="1">
      <c r="A53" s="77">
        <f>'入力　発注書'!A52</f>
        <v>40</v>
      </c>
      <c r="B53" s="74" t="str">
        <f>'入力　発注書'!B52</f>
        <v>メロン</v>
      </c>
      <c r="C53" s="75">
        <f>'印刷・FAX　発注書'!H48</f>
        <v>398</v>
      </c>
      <c r="D53" s="75">
        <f>'印刷・FAX　発注書'!I48</f>
        <v>287</v>
      </c>
      <c r="E53" s="75">
        <f>'入力　発注書'!O52</f>
        <v>0</v>
      </c>
      <c r="F53" s="76">
        <f t="shared" si="0"/>
        <v>0</v>
      </c>
      <c r="G53" s="78">
        <f t="shared" si="2"/>
        <v>0</v>
      </c>
    </row>
    <row r="54" spans="1:7" ht="13.15" hidden="1" customHeight="1">
      <c r="A54" s="77">
        <f>'入力　発注書'!A53</f>
        <v>41</v>
      </c>
      <c r="B54" s="74" t="str">
        <f>'入力　発注書'!B53</f>
        <v/>
      </c>
      <c r="C54" s="75" t="e">
        <f>'印刷・FAX　発注書'!#REF!</f>
        <v>#REF!</v>
      </c>
      <c r="D54" s="75" t="e">
        <f>'印刷・FAX　発注書'!#REF!</f>
        <v>#REF!</v>
      </c>
      <c r="E54" s="75">
        <f>'入力　発注書'!O53</f>
        <v>0</v>
      </c>
      <c r="F54" s="76" t="e">
        <f t="shared" si="0"/>
        <v>#REF!</v>
      </c>
      <c r="G54" s="78" t="e">
        <f t="shared" si="2"/>
        <v>#REF!</v>
      </c>
    </row>
    <row r="55" spans="1:7" ht="13.15" hidden="1" customHeight="1">
      <c r="A55" s="71">
        <f>'入力　発注書'!A54</f>
        <v>42</v>
      </c>
      <c r="B55" s="74" t="str">
        <f>'入力　発注書'!B54</f>
        <v/>
      </c>
      <c r="C55" s="75">
        <f>'印刷・FAX　発注書'!H49</f>
        <v>248</v>
      </c>
      <c r="D55" s="75">
        <f>'印刷・FAX　発注書'!I49</f>
        <v>179</v>
      </c>
      <c r="E55" s="75">
        <f>'入力　発注書'!O54</f>
        <v>0</v>
      </c>
      <c r="F55" s="76">
        <f t="shared" si="0"/>
        <v>0</v>
      </c>
      <c r="G55" s="76">
        <f t="shared" si="2"/>
        <v>0</v>
      </c>
    </row>
    <row r="56" spans="1:7" ht="15.6" customHeight="1" thickBot="1">
      <c r="A56" s="77">
        <f>'入力　発注書'!A55</f>
        <v>43</v>
      </c>
      <c r="B56" s="74" t="str">
        <f>'入力　発注書'!B55</f>
        <v/>
      </c>
      <c r="C56" s="75" t="e">
        <f>'印刷・FAX　発注書'!#REF!</f>
        <v>#REF!</v>
      </c>
      <c r="D56" s="75" t="e">
        <f>'印刷・FAX　発注書'!#REF!</f>
        <v>#REF!</v>
      </c>
      <c r="E56" s="75">
        <f>'入力　発注書'!O55</f>
        <v>0</v>
      </c>
      <c r="F56" s="76" t="e">
        <f t="shared" si="0"/>
        <v>#REF!</v>
      </c>
      <c r="G56" s="78" t="e">
        <f t="shared" si="2"/>
        <v>#REF!</v>
      </c>
    </row>
    <row r="57" spans="1:7" ht="15.6" hidden="1" customHeight="1">
      <c r="A57" s="77">
        <f>'入力　発注書'!A56</f>
        <v>44</v>
      </c>
      <c r="B57" s="74" t="str">
        <f>'入力　発注書'!B56</f>
        <v/>
      </c>
      <c r="C57" s="75">
        <f>'印刷・FAX　発注書'!H50</f>
        <v>598</v>
      </c>
      <c r="D57" s="75">
        <f>'印刷・FAX　発注書'!I50</f>
        <v>431</v>
      </c>
      <c r="E57" s="75">
        <f>'入力　発注書'!O56</f>
        <v>0</v>
      </c>
      <c r="F57" s="94">
        <f t="shared" si="0"/>
        <v>0</v>
      </c>
      <c r="G57" s="78">
        <f t="shared" si="2"/>
        <v>0</v>
      </c>
    </row>
    <row r="58" spans="1:7" ht="15.6" hidden="1" customHeight="1">
      <c r="A58" s="77">
        <f>'入力　発注書'!A57</f>
        <v>45</v>
      </c>
      <c r="B58" s="74" t="str">
        <f>'入力　発注書'!B57</f>
        <v/>
      </c>
      <c r="C58" s="75">
        <f>'印刷・FAX　発注書'!H51</f>
        <v>598</v>
      </c>
      <c r="D58" s="75">
        <f>'印刷・FAX　発注書'!I51</f>
        <v>431</v>
      </c>
      <c r="E58" s="75">
        <f>'入力　発注書'!O57</f>
        <v>0</v>
      </c>
      <c r="F58" s="76">
        <f>$E58*C58</f>
        <v>0</v>
      </c>
      <c r="G58" s="78">
        <f t="shared" si="2"/>
        <v>0</v>
      </c>
    </row>
    <row r="59" spans="1:7" ht="15.6" hidden="1" customHeight="1">
      <c r="A59" s="77">
        <f>'入力　発注書'!A58</f>
        <v>46</v>
      </c>
      <c r="B59" s="74" t="str">
        <f>'入力　発注書'!B58</f>
        <v/>
      </c>
      <c r="C59" s="75">
        <f>'印刷・FAX　発注書'!H52</f>
        <v>0</v>
      </c>
      <c r="D59" s="75">
        <f>'印刷・FAX　発注書'!I52</f>
        <v>0</v>
      </c>
      <c r="E59" s="75">
        <f>'入力　発注書'!O58</f>
        <v>0</v>
      </c>
      <c r="F59" s="76">
        <f t="shared" si="0"/>
        <v>0</v>
      </c>
      <c r="G59" s="78">
        <f t="shared" si="2"/>
        <v>0</v>
      </c>
    </row>
    <row r="60" spans="1:7" ht="19.5" hidden="1" thickBot="1">
      <c r="A60" s="77">
        <f>'入力　発注書'!A59</f>
        <v>47</v>
      </c>
      <c r="B60" s="74" t="str">
        <f>'入力　発注書'!B59</f>
        <v/>
      </c>
      <c r="C60" s="75">
        <f>'印刷・FAX　発注書'!H53</f>
        <v>0</v>
      </c>
      <c r="D60" s="75">
        <f>'印刷・FAX　発注書'!I53</f>
        <v>0</v>
      </c>
      <c r="E60" s="75">
        <f>'入力　発注書'!O59</f>
        <v>0</v>
      </c>
      <c r="F60" s="76">
        <f t="shared" si="0"/>
        <v>0</v>
      </c>
      <c r="G60" s="78">
        <f t="shared" si="2"/>
        <v>0</v>
      </c>
    </row>
    <row r="61" spans="1:7" ht="14.25" hidden="1" customHeight="1">
      <c r="A61" s="77">
        <f>'入力　発注書'!A60</f>
        <v>48</v>
      </c>
      <c r="B61" s="74" t="str">
        <f>'入力　発注書'!B60</f>
        <v/>
      </c>
      <c r="C61" s="75">
        <f>'印刷・FAX　発注書'!H54</f>
        <v>0</v>
      </c>
      <c r="D61" s="75">
        <f>'印刷・FAX　発注書'!I54</f>
        <v>0</v>
      </c>
      <c r="E61" s="75">
        <f>'入力　発注書'!O60</f>
        <v>0</v>
      </c>
      <c r="F61" s="76">
        <f t="shared" si="0"/>
        <v>0</v>
      </c>
      <c r="G61" s="78">
        <f t="shared" si="2"/>
        <v>0</v>
      </c>
    </row>
    <row r="62" spans="1:7" ht="14.25" hidden="1" customHeight="1">
      <c r="A62" s="77">
        <f>'入力　発注書'!A61</f>
        <v>49</v>
      </c>
      <c r="B62" s="74" t="str">
        <f>'入力　発注書'!B61</f>
        <v/>
      </c>
      <c r="C62" s="75">
        <f>'印刷・FAX　発注書'!H55</f>
        <v>0</v>
      </c>
      <c r="D62" s="75">
        <f>'印刷・FAX　発注書'!I55</f>
        <v>0</v>
      </c>
      <c r="E62" s="75">
        <f>'入力　発注書'!O61</f>
        <v>0</v>
      </c>
      <c r="F62" s="76">
        <f t="shared" si="0"/>
        <v>0</v>
      </c>
      <c r="G62" s="78">
        <f t="shared" ref="G62:G70" si="3">E62*D62</f>
        <v>0</v>
      </c>
    </row>
    <row r="63" spans="1:7" ht="14.25" hidden="1" customHeight="1">
      <c r="A63" s="77">
        <f>'入力　発注書'!A62</f>
        <v>50</v>
      </c>
      <c r="B63" s="74" t="str">
        <f>'入力　発注書'!B62</f>
        <v/>
      </c>
      <c r="C63" s="75">
        <f>'印刷・FAX　発注書'!H56</f>
        <v>0</v>
      </c>
      <c r="D63" s="75">
        <f>'印刷・FAX　発注書'!I56</f>
        <v>0</v>
      </c>
      <c r="E63" s="75">
        <f>'入力　発注書'!O62</f>
        <v>0</v>
      </c>
      <c r="F63" s="76">
        <f t="shared" si="0"/>
        <v>0</v>
      </c>
      <c r="G63" s="78">
        <f t="shared" si="3"/>
        <v>0</v>
      </c>
    </row>
    <row r="64" spans="1:7" ht="19.5" hidden="1" thickBot="1">
      <c r="A64" s="77">
        <f>'入力　発注書'!A63</f>
        <v>51</v>
      </c>
      <c r="B64" s="74" t="str">
        <f>'入力　発注書'!B63</f>
        <v/>
      </c>
      <c r="C64" s="75">
        <f>'印刷・FAX　発注書'!H57</f>
        <v>0</v>
      </c>
      <c r="D64" s="75">
        <f>'印刷・FAX　発注書'!I57</f>
        <v>0</v>
      </c>
      <c r="E64" s="75">
        <f>'入力　発注書'!O63</f>
        <v>0</v>
      </c>
      <c r="F64" s="76">
        <f t="shared" si="0"/>
        <v>0</v>
      </c>
      <c r="G64" s="78">
        <f t="shared" si="3"/>
        <v>0</v>
      </c>
    </row>
    <row r="65" spans="1:7" ht="19.5" hidden="1" thickBot="1">
      <c r="A65" s="77">
        <f>'入力　発注書'!A64</f>
        <v>52</v>
      </c>
      <c r="B65" s="74" t="str">
        <f>'入力　発注書'!B64</f>
        <v/>
      </c>
      <c r="C65" s="75">
        <f>'印刷・FAX　発注書'!H58</f>
        <v>0</v>
      </c>
      <c r="D65" s="75">
        <f>'印刷・FAX　発注書'!I58</f>
        <v>0</v>
      </c>
      <c r="E65" s="75">
        <f>'入力　発注書'!O64</f>
        <v>0</v>
      </c>
      <c r="F65" s="76">
        <f t="shared" si="0"/>
        <v>0</v>
      </c>
      <c r="G65" s="78">
        <f t="shared" si="3"/>
        <v>0</v>
      </c>
    </row>
    <row r="66" spans="1:7" ht="19.5" hidden="1" thickBot="1">
      <c r="A66" s="77">
        <f>'入力　発注書'!A65</f>
        <v>53</v>
      </c>
      <c r="B66" s="74" t="str">
        <f>'入力　発注書'!B65</f>
        <v/>
      </c>
      <c r="C66" s="75">
        <f>'印刷・FAX　発注書'!H59</f>
        <v>0</v>
      </c>
      <c r="D66" s="75">
        <f>'印刷・FAX　発注書'!I59</f>
        <v>0</v>
      </c>
      <c r="E66" s="75">
        <f>'入力　発注書'!O65</f>
        <v>0</v>
      </c>
      <c r="F66" s="76">
        <f t="shared" si="0"/>
        <v>0</v>
      </c>
      <c r="G66" s="78">
        <f t="shared" si="3"/>
        <v>0</v>
      </c>
    </row>
    <row r="67" spans="1:7" ht="19.5" hidden="1" thickBot="1">
      <c r="A67" s="77">
        <f>'入力　発注書'!A66</f>
        <v>54</v>
      </c>
      <c r="B67" s="74" t="str">
        <f>'入力　発注書'!B66</f>
        <v/>
      </c>
      <c r="C67" s="75">
        <f>'印刷・FAX　発注書'!H60</f>
        <v>0</v>
      </c>
      <c r="D67" s="75">
        <f>'印刷・FAX　発注書'!I60</f>
        <v>0</v>
      </c>
      <c r="E67" s="75">
        <f>'入力　発注書'!O66</f>
        <v>0</v>
      </c>
      <c r="F67" s="76">
        <f t="shared" si="0"/>
        <v>0</v>
      </c>
      <c r="G67" s="78">
        <f t="shared" si="3"/>
        <v>0</v>
      </c>
    </row>
    <row r="68" spans="1:7" ht="19.5" hidden="1" thickBot="1">
      <c r="A68" s="77">
        <f>'入力　発注書'!A67</f>
        <v>55</v>
      </c>
      <c r="B68" s="74">
        <f>'入力　発注書'!B67</f>
        <v>0</v>
      </c>
      <c r="C68" s="75">
        <f>'印刷・FAX　発注書'!H61</f>
        <v>0</v>
      </c>
      <c r="D68" s="75">
        <f>'印刷・FAX　発注書'!I61</f>
        <v>0</v>
      </c>
      <c r="E68" s="75">
        <f>'入力　発注書'!O67</f>
        <v>0</v>
      </c>
      <c r="F68" s="76">
        <f t="shared" si="0"/>
        <v>0</v>
      </c>
      <c r="G68" s="78">
        <f t="shared" si="3"/>
        <v>0</v>
      </c>
    </row>
    <row r="69" spans="1:7" ht="19.5" hidden="1" thickBot="1">
      <c r="A69" s="77">
        <f>'入力　発注書'!A68</f>
        <v>56</v>
      </c>
      <c r="B69" s="74">
        <f>'入力　発注書'!B68</f>
        <v>0</v>
      </c>
      <c r="C69" s="75">
        <f>'印刷・FAX　発注書'!H62</f>
        <v>0</v>
      </c>
      <c r="D69" s="75">
        <f>'印刷・FAX　発注書'!I62</f>
        <v>0</v>
      </c>
      <c r="E69" s="75">
        <f>'入力　発注書'!O68</f>
        <v>0</v>
      </c>
      <c r="F69" s="76">
        <f t="shared" si="0"/>
        <v>0</v>
      </c>
      <c r="G69" s="78">
        <f t="shared" si="3"/>
        <v>0</v>
      </c>
    </row>
    <row r="70" spans="1:7" ht="19.5" hidden="1" thickBot="1">
      <c r="A70" s="79">
        <f>'入力　発注書'!A69</f>
        <v>57</v>
      </c>
      <c r="B70" s="74">
        <f>'入力　発注書'!B69</f>
        <v>0</v>
      </c>
      <c r="C70" s="75">
        <f>'印刷・FAX　発注書'!H63</f>
        <v>0</v>
      </c>
      <c r="D70" s="75">
        <f>'印刷・FAX　発注書'!I63</f>
        <v>0</v>
      </c>
      <c r="E70" s="75">
        <f>'入力　発注書'!O69</f>
        <v>0</v>
      </c>
      <c r="F70" s="76">
        <f t="shared" si="0"/>
        <v>0</v>
      </c>
      <c r="G70" s="78">
        <f t="shared" si="3"/>
        <v>0</v>
      </c>
    </row>
    <row r="71" spans="1:7" ht="20.25" hidden="1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発注書'!N70</f>
        <v>0</v>
      </c>
      <c r="E71" s="82">
        <f>IF(D71&lt;&gt;0,1,0)</f>
        <v>0</v>
      </c>
      <c r="F71" s="82"/>
      <c r="G71" s="83">
        <f t="shared" si="2"/>
        <v>0</v>
      </c>
    </row>
    <row r="72" spans="1:7" s="53" customFormat="1" ht="16.5" customHeight="1" thickTop="1">
      <c r="A72" s="125"/>
      <c r="B72" s="124" t="s">
        <v>66</v>
      </c>
      <c r="C72" s="129"/>
      <c r="D72" s="182" t="s">
        <v>71</v>
      </c>
      <c r="E72" s="183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84" t="s">
        <v>72</v>
      </c>
      <c r="E73" s="185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>
    <filterColumn colId="6">
      <filters blank="1">
        <filter val="1,690"/>
        <filter val="284"/>
        <filter val="695"/>
        <filter val="711"/>
      </filters>
    </filterColumn>
  </autoFilter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31496062992125984" right="0.11811023622047245" top="0.35433070866141736" bottom="0.15748031496062992" header="0.31496062992125984" footer="0.31496062992125984"/>
  <pageSetup paperSiz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50"/>
  <sheetViews>
    <sheetView workbookViewId="0">
      <selection activeCell="N8" sqref="N8"/>
    </sheetView>
  </sheetViews>
  <sheetFormatPr defaultColWidth="8.75" defaultRowHeight="18.75"/>
  <cols>
    <col min="1" max="1" width="3.125" style="1" customWidth="1"/>
    <col min="2" max="2" width="12.25" style="1" customWidth="1"/>
    <col min="3" max="3" width="5.625" style="1" customWidth="1"/>
    <col min="4" max="5" width="6.125" style="1" customWidth="1"/>
    <col min="6" max="6" width="5.125" style="1" customWidth="1"/>
    <col min="7" max="12" width="5.875" style="1" customWidth="1"/>
    <col min="13" max="13" width="6" style="1" customWidth="1"/>
    <col min="14" max="16384" width="8.75" style="1"/>
  </cols>
  <sheetData>
    <row r="1" spans="1:14" ht="24.6" customHeight="1">
      <c r="B1" s="2"/>
      <c r="C1" s="29">
        <v>9</v>
      </c>
      <c r="D1" s="1" t="s">
        <v>44</v>
      </c>
      <c r="E1" s="29">
        <v>26</v>
      </c>
      <c r="F1" s="1" t="s">
        <v>45</v>
      </c>
      <c r="G1" s="213"/>
      <c r="H1" s="213"/>
      <c r="I1" s="214"/>
      <c r="J1" s="214"/>
      <c r="K1" s="3"/>
    </row>
    <row r="2" spans="1:14" s="4" customFormat="1" ht="24.6" customHeight="1" thickBot="1">
      <c r="B2" s="215" t="s">
        <v>0</v>
      </c>
      <c r="C2" s="215"/>
      <c r="D2" s="216"/>
      <c r="E2" s="216"/>
      <c r="F2" s="216"/>
      <c r="G2" s="217"/>
      <c r="H2" s="217"/>
      <c r="I2" s="6"/>
      <c r="J2" s="5"/>
      <c r="K2" s="7"/>
    </row>
    <row r="3" spans="1:14" ht="4.1500000000000004" customHeight="1" thickTop="1">
      <c r="B3" s="2"/>
      <c r="E3" s="2"/>
      <c r="F3" s="2"/>
      <c r="G3" s="8"/>
      <c r="H3" s="8"/>
      <c r="I3" s="9"/>
      <c r="J3" s="10"/>
      <c r="K3" s="9"/>
    </row>
    <row r="4" spans="1:14" ht="13.15" customHeight="1">
      <c r="A4" s="11"/>
      <c r="B4" s="12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25" t="s">
        <v>46</v>
      </c>
      <c r="H4" s="26" t="s">
        <v>47</v>
      </c>
      <c r="I4" s="27" t="s">
        <v>48</v>
      </c>
      <c r="J4" s="26" t="s">
        <v>49</v>
      </c>
      <c r="K4" s="26" t="s">
        <v>50</v>
      </c>
      <c r="L4" s="12"/>
    </row>
    <row r="5" spans="1:14" ht="13.15" customHeight="1">
      <c r="A5" s="11">
        <v>1</v>
      </c>
      <c r="B5" s="14" t="s">
        <v>6</v>
      </c>
      <c r="C5" s="15">
        <v>3</v>
      </c>
      <c r="D5" s="16">
        <v>88</v>
      </c>
      <c r="E5" s="16">
        <v>66</v>
      </c>
      <c r="F5" s="45"/>
      <c r="G5" s="16">
        <v>0</v>
      </c>
      <c r="H5" s="16">
        <v>6</v>
      </c>
      <c r="I5" s="16"/>
      <c r="J5" s="16"/>
      <c r="K5" s="16"/>
      <c r="L5" s="30"/>
      <c r="M5" s="28">
        <f>SUM(G5:L5)</f>
        <v>6</v>
      </c>
    </row>
    <row r="6" spans="1:14" ht="13.15" customHeight="1">
      <c r="A6" s="11">
        <v>2</v>
      </c>
      <c r="B6" s="14" t="s">
        <v>6</v>
      </c>
      <c r="C6" s="15">
        <v>3</v>
      </c>
      <c r="D6" s="16">
        <v>181</v>
      </c>
      <c r="E6" s="16">
        <v>135</v>
      </c>
      <c r="F6" s="17">
        <f t="shared" ref="F6:F45" si="0">1-E6/D6</f>
        <v>0.2541436464088398</v>
      </c>
      <c r="G6" s="16">
        <v>15</v>
      </c>
      <c r="H6" s="16">
        <v>10</v>
      </c>
      <c r="I6" s="16">
        <v>15</v>
      </c>
      <c r="J6" s="16">
        <v>10</v>
      </c>
      <c r="K6" s="16"/>
      <c r="L6" s="30"/>
    </row>
    <row r="7" spans="1:14" ht="12.6" customHeight="1">
      <c r="A7" s="11">
        <v>3</v>
      </c>
      <c r="B7" s="14" t="s">
        <v>7</v>
      </c>
      <c r="C7" s="15">
        <v>10</v>
      </c>
      <c r="D7" s="16">
        <v>118</v>
      </c>
      <c r="E7" s="16">
        <v>89</v>
      </c>
      <c r="F7" s="17">
        <f t="shared" si="0"/>
        <v>0.24576271186440679</v>
      </c>
      <c r="G7" s="16"/>
      <c r="H7" s="16"/>
      <c r="I7" s="16"/>
      <c r="J7" s="16"/>
      <c r="K7" s="16"/>
      <c r="L7" s="30"/>
    </row>
    <row r="8" spans="1:14" ht="12.6" customHeight="1">
      <c r="A8" s="11">
        <v>4</v>
      </c>
      <c r="B8" s="14" t="s">
        <v>7</v>
      </c>
      <c r="C8" s="15">
        <v>10</v>
      </c>
      <c r="D8" s="16">
        <v>138</v>
      </c>
      <c r="E8" s="16">
        <v>104</v>
      </c>
      <c r="F8" s="17">
        <f t="shared" si="0"/>
        <v>0.24637681159420288</v>
      </c>
      <c r="G8" s="16"/>
      <c r="H8" s="16"/>
      <c r="I8" s="16"/>
      <c r="J8" s="16"/>
      <c r="K8" s="16"/>
      <c r="L8" s="30"/>
    </row>
    <row r="9" spans="1:14" ht="13.15" customHeight="1">
      <c r="A9" s="11">
        <v>5</v>
      </c>
      <c r="B9" s="14" t="s">
        <v>8</v>
      </c>
      <c r="C9" s="15">
        <v>5</v>
      </c>
      <c r="D9" s="16">
        <v>128</v>
      </c>
      <c r="E9" s="16">
        <v>96</v>
      </c>
      <c r="F9" s="17">
        <f t="shared" si="0"/>
        <v>0.25</v>
      </c>
      <c r="G9" s="16"/>
      <c r="H9" s="16"/>
      <c r="I9" s="16"/>
      <c r="J9" s="16">
        <v>5</v>
      </c>
      <c r="K9" s="16"/>
      <c r="L9" s="30"/>
    </row>
    <row r="10" spans="1:14" ht="13.15" customHeight="1">
      <c r="A10" s="11">
        <v>6</v>
      </c>
      <c r="B10" s="14" t="s">
        <v>9</v>
      </c>
      <c r="C10" s="15">
        <v>7</v>
      </c>
      <c r="D10" s="16">
        <v>148</v>
      </c>
      <c r="E10" s="16">
        <v>111</v>
      </c>
      <c r="F10" s="17">
        <f t="shared" si="0"/>
        <v>0.25</v>
      </c>
      <c r="G10" s="16"/>
      <c r="H10" s="16"/>
      <c r="I10" s="16"/>
      <c r="J10" s="16"/>
      <c r="K10" s="16"/>
      <c r="L10" s="30"/>
    </row>
    <row r="11" spans="1:14" ht="13.15" customHeight="1">
      <c r="A11" s="11">
        <v>7</v>
      </c>
      <c r="B11" s="14" t="s">
        <v>10</v>
      </c>
      <c r="C11" s="15">
        <v>5</v>
      </c>
      <c r="D11" s="16">
        <v>158</v>
      </c>
      <c r="E11" s="16">
        <v>119</v>
      </c>
      <c r="F11" s="17">
        <f t="shared" si="0"/>
        <v>0.24683544303797467</v>
      </c>
      <c r="G11" s="16"/>
      <c r="H11" s="16"/>
      <c r="I11" s="16">
        <v>3</v>
      </c>
      <c r="J11" s="16">
        <v>5</v>
      </c>
      <c r="K11" s="16"/>
      <c r="L11" s="30"/>
    </row>
    <row r="12" spans="1:14" ht="13.15" customHeight="1">
      <c r="A12" s="11">
        <v>8</v>
      </c>
      <c r="B12" s="14" t="s">
        <v>11</v>
      </c>
      <c r="C12" s="15">
        <v>5</v>
      </c>
      <c r="D12" s="16">
        <v>428</v>
      </c>
      <c r="E12" s="16">
        <v>308</v>
      </c>
      <c r="F12" s="17">
        <f t="shared" si="0"/>
        <v>0.28037383177570097</v>
      </c>
      <c r="G12" s="16"/>
      <c r="H12" s="16"/>
      <c r="I12" s="16"/>
      <c r="J12" s="16"/>
      <c r="K12" s="16"/>
      <c r="L12" s="30"/>
    </row>
    <row r="13" spans="1:14" ht="13.15" customHeight="1">
      <c r="A13" s="11">
        <v>9</v>
      </c>
      <c r="B13" s="14" t="s">
        <v>12</v>
      </c>
      <c r="C13" s="15">
        <v>7</v>
      </c>
      <c r="D13" s="16">
        <v>298</v>
      </c>
      <c r="E13" s="16">
        <v>215</v>
      </c>
      <c r="F13" s="17">
        <f t="shared" si="0"/>
        <v>0.27852348993288589</v>
      </c>
      <c r="G13" s="16"/>
      <c r="H13" s="16"/>
      <c r="I13" s="16"/>
      <c r="J13" s="16"/>
      <c r="K13" s="16"/>
      <c r="L13" s="30"/>
    </row>
    <row r="14" spans="1:14" ht="13.15" customHeight="1">
      <c r="A14" s="11">
        <v>10</v>
      </c>
      <c r="B14" s="14" t="s">
        <v>13</v>
      </c>
      <c r="C14" s="15">
        <v>7</v>
      </c>
      <c r="D14" s="16">
        <v>480</v>
      </c>
      <c r="E14" s="16">
        <v>350</v>
      </c>
      <c r="F14" s="17">
        <f t="shared" si="0"/>
        <v>0.27083333333333337</v>
      </c>
      <c r="G14" s="16"/>
      <c r="H14" s="16"/>
      <c r="I14" s="16"/>
      <c r="J14" s="16"/>
      <c r="K14" s="16"/>
      <c r="L14" s="30"/>
    </row>
    <row r="15" spans="1:14" ht="13.15" customHeight="1">
      <c r="A15" s="11">
        <v>11</v>
      </c>
      <c r="B15" s="14" t="s">
        <v>14</v>
      </c>
      <c r="C15" s="15">
        <v>7</v>
      </c>
      <c r="D15" s="16">
        <v>100</v>
      </c>
      <c r="E15" s="16">
        <v>75</v>
      </c>
      <c r="F15" s="17">
        <f t="shared" si="0"/>
        <v>0.25</v>
      </c>
      <c r="G15" s="16">
        <v>4</v>
      </c>
      <c r="H15" s="16">
        <v>3</v>
      </c>
      <c r="I15" s="16"/>
      <c r="J15" s="16">
        <v>3</v>
      </c>
      <c r="K15" s="16">
        <v>3</v>
      </c>
      <c r="L15" s="30"/>
    </row>
    <row r="16" spans="1:14" ht="13.15" customHeight="1">
      <c r="A16" s="11">
        <v>12</v>
      </c>
      <c r="B16" s="14" t="s">
        <v>15</v>
      </c>
      <c r="C16" s="15">
        <v>5</v>
      </c>
      <c r="D16" s="16">
        <v>216</v>
      </c>
      <c r="E16" s="16">
        <v>156</v>
      </c>
      <c r="F16" s="17">
        <f t="shared" si="0"/>
        <v>0.27777777777777779</v>
      </c>
      <c r="G16" s="16"/>
      <c r="H16" s="16"/>
      <c r="I16" s="16"/>
      <c r="J16" s="16"/>
      <c r="K16" s="16"/>
      <c r="L16" s="30"/>
      <c r="N16" s="1" t="s">
        <v>74</v>
      </c>
    </row>
    <row r="17" spans="1:12" ht="13.15" customHeight="1">
      <c r="A17" s="11">
        <v>13</v>
      </c>
      <c r="B17" s="14" t="s">
        <v>16</v>
      </c>
      <c r="C17" s="15">
        <v>5</v>
      </c>
      <c r="D17" s="16">
        <v>118</v>
      </c>
      <c r="E17" s="16">
        <v>89</v>
      </c>
      <c r="F17" s="17">
        <f t="shared" si="0"/>
        <v>0.24576271186440679</v>
      </c>
      <c r="G17" s="16"/>
      <c r="H17" s="16"/>
      <c r="I17" s="16">
        <v>3</v>
      </c>
      <c r="J17" s="16">
        <v>4</v>
      </c>
      <c r="K17" s="16"/>
      <c r="L17" s="30"/>
    </row>
    <row r="18" spans="1:12" ht="13.15" customHeight="1">
      <c r="A18" s="11">
        <v>14</v>
      </c>
      <c r="B18" s="14" t="s">
        <v>16</v>
      </c>
      <c r="C18" s="15">
        <v>4</v>
      </c>
      <c r="D18" s="16">
        <v>238</v>
      </c>
      <c r="E18" s="16">
        <v>172</v>
      </c>
      <c r="F18" s="17">
        <f t="shared" si="0"/>
        <v>0.27731092436974791</v>
      </c>
      <c r="G18" s="16"/>
      <c r="H18" s="16"/>
      <c r="I18" s="16"/>
      <c r="J18" s="16"/>
      <c r="K18" s="16"/>
      <c r="L18" s="30"/>
    </row>
    <row r="19" spans="1:12" ht="13.15" customHeight="1">
      <c r="A19" s="11">
        <v>15</v>
      </c>
      <c r="B19" s="14" t="s">
        <v>17</v>
      </c>
      <c r="C19" s="15">
        <v>3</v>
      </c>
      <c r="D19" s="16">
        <v>216</v>
      </c>
      <c r="E19" s="16">
        <v>156</v>
      </c>
      <c r="F19" s="17">
        <f t="shared" si="0"/>
        <v>0.27777777777777779</v>
      </c>
      <c r="G19" s="16"/>
      <c r="H19" s="16"/>
      <c r="I19" s="16"/>
      <c r="J19" s="16"/>
      <c r="K19" s="16"/>
      <c r="L19" s="30"/>
    </row>
    <row r="20" spans="1:12" ht="13.15" customHeight="1">
      <c r="A20" s="11">
        <v>16</v>
      </c>
      <c r="B20" s="11" t="s">
        <v>18</v>
      </c>
      <c r="C20" s="18">
        <v>4</v>
      </c>
      <c r="D20" s="11">
        <v>98</v>
      </c>
      <c r="E20" s="16">
        <v>73</v>
      </c>
      <c r="F20" s="17">
        <f t="shared" si="0"/>
        <v>0.25510204081632648</v>
      </c>
      <c r="G20" s="30"/>
      <c r="H20" s="30"/>
      <c r="I20" s="30">
        <v>2</v>
      </c>
      <c r="J20" s="30">
        <v>4</v>
      </c>
      <c r="K20" s="30"/>
      <c r="L20" s="30"/>
    </row>
    <row r="21" spans="1:12" ht="13.15" customHeight="1">
      <c r="A21" s="11">
        <v>17</v>
      </c>
      <c r="B21" s="11" t="s">
        <v>19</v>
      </c>
      <c r="C21" s="18">
        <v>5</v>
      </c>
      <c r="D21" s="11">
        <v>218</v>
      </c>
      <c r="E21" s="16">
        <v>158</v>
      </c>
      <c r="F21" s="17">
        <f t="shared" si="0"/>
        <v>0.27522935779816515</v>
      </c>
      <c r="G21" s="30"/>
      <c r="H21" s="30"/>
      <c r="I21" s="30"/>
      <c r="J21" s="30"/>
      <c r="K21" s="30"/>
      <c r="L21" s="30"/>
    </row>
    <row r="22" spans="1:12" ht="13.15" customHeight="1">
      <c r="A22" s="11">
        <v>18</v>
      </c>
      <c r="B22" s="19" t="s">
        <v>20</v>
      </c>
      <c r="C22" s="18">
        <v>5</v>
      </c>
      <c r="D22" s="11">
        <v>458</v>
      </c>
      <c r="E22" s="16">
        <v>328</v>
      </c>
      <c r="F22" s="17">
        <f t="shared" si="0"/>
        <v>0.28384279475982532</v>
      </c>
      <c r="G22" s="30"/>
      <c r="H22" s="30"/>
      <c r="I22" s="30"/>
      <c r="J22" s="30"/>
      <c r="K22" s="30"/>
      <c r="L22" s="30"/>
    </row>
    <row r="23" spans="1:12" ht="13.15" customHeight="1">
      <c r="A23" s="11">
        <v>19</v>
      </c>
      <c r="B23" s="11" t="s">
        <v>21</v>
      </c>
      <c r="C23" s="18">
        <v>5</v>
      </c>
      <c r="D23" s="11">
        <v>218</v>
      </c>
      <c r="E23" s="16">
        <v>164</v>
      </c>
      <c r="F23" s="17">
        <f t="shared" si="0"/>
        <v>0.24770642201834858</v>
      </c>
      <c r="G23" s="30"/>
      <c r="H23" s="30"/>
      <c r="I23" s="30"/>
      <c r="J23" s="30"/>
      <c r="K23" s="30"/>
      <c r="L23" s="30"/>
    </row>
    <row r="24" spans="1:12" ht="13.15" customHeight="1">
      <c r="A24" s="11">
        <v>20</v>
      </c>
      <c r="B24" s="11" t="s">
        <v>22</v>
      </c>
      <c r="C24" s="18">
        <v>6</v>
      </c>
      <c r="D24" s="11">
        <v>138</v>
      </c>
      <c r="E24" s="16">
        <v>100</v>
      </c>
      <c r="F24" s="17">
        <f t="shared" si="0"/>
        <v>0.27536231884057971</v>
      </c>
      <c r="G24" s="30"/>
      <c r="H24" s="30"/>
      <c r="I24" s="30"/>
      <c r="J24" s="30"/>
      <c r="K24" s="30"/>
      <c r="L24" s="30"/>
    </row>
    <row r="25" spans="1:12" ht="13.15" customHeight="1">
      <c r="A25" s="11">
        <v>21</v>
      </c>
      <c r="B25" s="11" t="s">
        <v>23</v>
      </c>
      <c r="C25" s="18">
        <v>5</v>
      </c>
      <c r="D25" s="11">
        <v>248</v>
      </c>
      <c r="E25" s="16">
        <v>176</v>
      </c>
      <c r="F25" s="17">
        <f t="shared" si="0"/>
        <v>0.29032258064516125</v>
      </c>
      <c r="G25" s="30"/>
      <c r="H25" s="30"/>
      <c r="I25" s="30"/>
      <c r="J25" s="30"/>
      <c r="K25" s="30"/>
      <c r="L25" s="30"/>
    </row>
    <row r="26" spans="1:12" ht="13.15" customHeight="1">
      <c r="A26" s="11">
        <v>22</v>
      </c>
      <c r="B26" s="11" t="s">
        <v>24</v>
      </c>
      <c r="C26" s="18">
        <v>7</v>
      </c>
      <c r="D26" s="11">
        <v>149</v>
      </c>
      <c r="E26" s="16">
        <v>108</v>
      </c>
      <c r="F26" s="17">
        <f t="shared" si="0"/>
        <v>0.27516778523489938</v>
      </c>
      <c r="G26" s="30"/>
      <c r="H26" s="30"/>
      <c r="I26" s="30"/>
      <c r="J26" s="30"/>
      <c r="K26" s="30"/>
      <c r="L26" s="30"/>
    </row>
    <row r="27" spans="1:12" ht="13.15" customHeight="1">
      <c r="A27" s="11">
        <v>23</v>
      </c>
      <c r="B27" s="11" t="s">
        <v>25</v>
      </c>
      <c r="C27" s="18">
        <v>5</v>
      </c>
      <c r="D27" s="11">
        <v>188</v>
      </c>
      <c r="E27" s="16">
        <v>135</v>
      </c>
      <c r="F27" s="17">
        <f t="shared" si="0"/>
        <v>0.28191489361702127</v>
      </c>
      <c r="G27" s="30"/>
      <c r="H27" s="30"/>
      <c r="I27" s="30"/>
      <c r="J27" s="30"/>
      <c r="K27" s="30"/>
      <c r="L27" s="30"/>
    </row>
    <row r="28" spans="1:12" ht="13.15" customHeight="1">
      <c r="A28" s="11">
        <v>24</v>
      </c>
      <c r="B28" s="11" t="s">
        <v>26</v>
      </c>
      <c r="C28" s="18">
        <v>10</v>
      </c>
      <c r="D28" s="11">
        <v>298</v>
      </c>
      <c r="E28" s="16">
        <v>223</v>
      </c>
      <c r="F28" s="17">
        <f t="shared" si="0"/>
        <v>0.25167785234899331</v>
      </c>
      <c r="G28" s="30">
        <v>3</v>
      </c>
      <c r="H28" s="30"/>
      <c r="I28" s="30"/>
      <c r="J28" s="30"/>
      <c r="K28" s="30"/>
      <c r="L28" s="30"/>
    </row>
    <row r="29" spans="1:12" ht="13.15" customHeight="1">
      <c r="A29" s="11">
        <v>25</v>
      </c>
      <c r="B29" s="11" t="s">
        <v>27</v>
      </c>
      <c r="C29" s="18">
        <v>10</v>
      </c>
      <c r="D29" s="11">
        <v>158</v>
      </c>
      <c r="E29" s="16">
        <v>108</v>
      </c>
      <c r="F29" s="17">
        <f t="shared" si="0"/>
        <v>0.31645569620253167</v>
      </c>
      <c r="G29" s="30"/>
      <c r="H29" s="30"/>
      <c r="I29" s="30"/>
      <c r="J29" s="30"/>
      <c r="K29" s="30"/>
      <c r="L29" s="30"/>
    </row>
    <row r="30" spans="1:12" ht="13.15" customHeight="1">
      <c r="A30" s="11">
        <v>26</v>
      </c>
      <c r="B30" s="11" t="s">
        <v>28</v>
      </c>
      <c r="C30" s="18">
        <v>5</v>
      </c>
      <c r="D30" s="11">
        <v>128</v>
      </c>
      <c r="E30" s="16">
        <v>96</v>
      </c>
      <c r="F30" s="17">
        <f t="shared" si="0"/>
        <v>0.25</v>
      </c>
      <c r="G30" s="30"/>
      <c r="H30" s="30"/>
      <c r="I30" s="30"/>
      <c r="J30" s="30">
        <v>3</v>
      </c>
      <c r="K30" s="30"/>
      <c r="L30" s="30"/>
    </row>
    <row r="31" spans="1:12" ht="13.15" customHeight="1">
      <c r="A31" s="11">
        <v>27</v>
      </c>
      <c r="B31" s="11" t="s">
        <v>29</v>
      </c>
      <c r="C31" s="18">
        <v>5</v>
      </c>
      <c r="D31" s="11">
        <v>128</v>
      </c>
      <c r="E31" s="16">
        <v>96</v>
      </c>
      <c r="F31" s="17">
        <f t="shared" si="0"/>
        <v>0.25</v>
      </c>
      <c r="G31" s="30"/>
      <c r="H31" s="30"/>
      <c r="I31" s="30"/>
      <c r="J31" s="30">
        <v>3</v>
      </c>
      <c r="K31" s="30">
        <v>3</v>
      </c>
      <c r="L31" s="30"/>
    </row>
    <row r="32" spans="1:12" ht="13.15" customHeight="1">
      <c r="A32" s="11">
        <v>28</v>
      </c>
      <c r="B32" s="11" t="s">
        <v>30</v>
      </c>
      <c r="C32" s="18">
        <v>4</v>
      </c>
      <c r="D32" s="11">
        <v>158</v>
      </c>
      <c r="E32" s="16">
        <v>118</v>
      </c>
      <c r="F32" s="17">
        <f t="shared" si="0"/>
        <v>0.25316455696202533</v>
      </c>
      <c r="G32" s="30"/>
      <c r="H32" s="30"/>
      <c r="I32" s="30"/>
      <c r="J32" s="30"/>
      <c r="K32" s="30"/>
      <c r="L32" s="30"/>
    </row>
    <row r="33" spans="1:12" ht="13.15" customHeight="1">
      <c r="A33" s="11">
        <v>29</v>
      </c>
      <c r="B33" s="11" t="s">
        <v>31</v>
      </c>
      <c r="C33" s="18">
        <v>5</v>
      </c>
      <c r="D33" s="11">
        <v>148</v>
      </c>
      <c r="E33" s="16">
        <v>106</v>
      </c>
      <c r="F33" s="17">
        <f t="shared" si="0"/>
        <v>0.28378378378378377</v>
      </c>
      <c r="G33" s="30"/>
      <c r="H33" s="30"/>
      <c r="I33" s="30"/>
      <c r="J33" s="30"/>
      <c r="K33" s="30"/>
      <c r="L33" s="30"/>
    </row>
    <row r="34" spans="1:12" ht="13.15" customHeight="1">
      <c r="A34" s="11">
        <v>30</v>
      </c>
      <c r="B34" s="11" t="s">
        <v>32</v>
      </c>
      <c r="C34" s="18">
        <v>5</v>
      </c>
      <c r="D34" s="11">
        <v>138</v>
      </c>
      <c r="E34" s="16">
        <v>100</v>
      </c>
      <c r="F34" s="17">
        <f t="shared" si="0"/>
        <v>0.27536231884057971</v>
      </c>
      <c r="G34" s="30"/>
      <c r="H34" s="30"/>
      <c r="I34" s="30"/>
      <c r="J34" s="30"/>
      <c r="K34" s="30"/>
      <c r="L34" s="30"/>
    </row>
    <row r="35" spans="1:12" ht="13.15" customHeight="1">
      <c r="A35" s="11">
        <v>31</v>
      </c>
      <c r="B35" s="11" t="s">
        <v>33</v>
      </c>
      <c r="C35" s="18">
        <v>5</v>
      </c>
      <c r="D35" s="11">
        <v>108</v>
      </c>
      <c r="E35" s="16">
        <v>78</v>
      </c>
      <c r="F35" s="17">
        <f t="shared" si="0"/>
        <v>0.27777777777777779</v>
      </c>
      <c r="G35" s="30"/>
      <c r="H35" s="30"/>
      <c r="I35" s="30"/>
      <c r="J35" s="30"/>
      <c r="K35" s="30"/>
      <c r="L35" s="30"/>
    </row>
    <row r="36" spans="1:12" ht="13.15" customHeight="1">
      <c r="A36" s="11">
        <v>32</v>
      </c>
      <c r="B36" s="11" t="s">
        <v>34</v>
      </c>
      <c r="C36" s="18">
        <v>15</v>
      </c>
      <c r="D36" s="11">
        <v>158</v>
      </c>
      <c r="E36" s="16">
        <v>114</v>
      </c>
      <c r="F36" s="17">
        <f t="shared" si="0"/>
        <v>0.27848101265822789</v>
      </c>
      <c r="G36" s="30"/>
      <c r="H36" s="30"/>
      <c r="I36" s="30"/>
      <c r="J36" s="30"/>
      <c r="K36" s="30"/>
      <c r="L36" s="30"/>
    </row>
    <row r="37" spans="1:12" ht="13.15" customHeight="1">
      <c r="A37" s="11">
        <v>33</v>
      </c>
      <c r="B37" s="11" t="s">
        <v>35</v>
      </c>
      <c r="C37" s="18">
        <v>15</v>
      </c>
      <c r="D37" s="11">
        <v>108</v>
      </c>
      <c r="E37" s="16">
        <v>78</v>
      </c>
      <c r="F37" s="17">
        <f t="shared" si="0"/>
        <v>0.27777777777777779</v>
      </c>
      <c r="G37" s="30"/>
      <c r="H37" s="30"/>
      <c r="I37" s="30">
        <v>3</v>
      </c>
      <c r="J37" s="30">
        <v>3</v>
      </c>
      <c r="K37" s="30"/>
      <c r="L37" s="30"/>
    </row>
    <row r="38" spans="1:12" ht="13.15" customHeight="1">
      <c r="A38" s="11">
        <v>34</v>
      </c>
      <c r="B38" s="20" t="s">
        <v>36</v>
      </c>
      <c r="C38" s="18">
        <v>5</v>
      </c>
      <c r="D38" s="11">
        <v>318</v>
      </c>
      <c r="E38" s="16">
        <v>230</v>
      </c>
      <c r="F38" s="17">
        <f t="shared" si="0"/>
        <v>0.27672955974842772</v>
      </c>
      <c r="G38" s="30"/>
      <c r="H38" s="30"/>
      <c r="I38" s="30"/>
      <c r="J38" s="30"/>
      <c r="K38" s="30"/>
      <c r="L38" s="30"/>
    </row>
    <row r="39" spans="1:12" ht="13.15" customHeight="1">
      <c r="A39" s="11">
        <v>35</v>
      </c>
      <c r="B39" s="11" t="s">
        <v>37</v>
      </c>
      <c r="C39" s="18">
        <v>5</v>
      </c>
      <c r="D39" s="11">
        <v>348</v>
      </c>
      <c r="E39" s="16">
        <v>250</v>
      </c>
      <c r="F39" s="17">
        <f t="shared" si="0"/>
        <v>0.2816091954022989</v>
      </c>
      <c r="G39" s="30"/>
      <c r="H39" s="30"/>
      <c r="I39" s="30"/>
      <c r="J39" s="30"/>
      <c r="K39" s="30"/>
      <c r="L39" s="30"/>
    </row>
    <row r="40" spans="1:12" ht="13.15" customHeight="1">
      <c r="A40" s="11">
        <v>36</v>
      </c>
      <c r="B40" s="11" t="s">
        <v>38</v>
      </c>
      <c r="C40" s="18">
        <v>4</v>
      </c>
      <c r="D40" s="11">
        <v>108</v>
      </c>
      <c r="E40" s="16">
        <v>78</v>
      </c>
      <c r="F40" s="17">
        <f t="shared" si="0"/>
        <v>0.27777777777777779</v>
      </c>
      <c r="G40" s="30"/>
      <c r="H40" s="30"/>
      <c r="I40" s="30"/>
      <c r="J40" s="30"/>
      <c r="K40" s="30"/>
      <c r="L40" s="30"/>
    </row>
    <row r="41" spans="1:12" ht="13.15" customHeight="1">
      <c r="A41" s="11">
        <v>37</v>
      </c>
      <c r="B41" s="21" t="s">
        <v>39</v>
      </c>
      <c r="C41" s="18">
        <v>5</v>
      </c>
      <c r="D41" s="11">
        <v>198</v>
      </c>
      <c r="E41" s="16">
        <v>142</v>
      </c>
      <c r="F41" s="17">
        <f t="shared" si="0"/>
        <v>0.28282828282828287</v>
      </c>
      <c r="G41" s="30">
        <v>3</v>
      </c>
      <c r="H41" s="30">
        <v>3</v>
      </c>
      <c r="I41" s="30">
        <v>3</v>
      </c>
      <c r="J41" s="30">
        <v>2</v>
      </c>
      <c r="K41" s="30">
        <v>3</v>
      </c>
      <c r="L41" s="30"/>
    </row>
    <row r="42" spans="1:12" ht="13.15" customHeight="1">
      <c r="A42" s="11">
        <v>38</v>
      </c>
      <c r="B42" s="11" t="s">
        <v>40</v>
      </c>
      <c r="C42" s="18">
        <v>7</v>
      </c>
      <c r="D42" s="11">
        <v>328</v>
      </c>
      <c r="E42" s="16">
        <v>245</v>
      </c>
      <c r="F42" s="17">
        <f t="shared" si="0"/>
        <v>0.25304878048780488</v>
      </c>
      <c r="G42" s="30"/>
      <c r="H42" s="30"/>
      <c r="I42" s="30"/>
      <c r="J42" s="30"/>
      <c r="K42" s="30"/>
      <c r="L42" s="30"/>
    </row>
    <row r="43" spans="1:12" ht="13.15" customHeight="1">
      <c r="A43" s="11">
        <v>39</v>
      </c>
      <c r="B43" s="11" t="s">
        <v>41</v>
      </c>
      <c r="C43" s="18">
        <v>7</v>
      </c>
      <c r="D43" s="11">
        <v>318</v>
      </c>
      <c r="E43" s="16">
        <v>238</v>
      </c>
      <c r="F43" s="17">
        <f t="shared" si="0"/>
        <v>0.25157232704402521</v>
      </c>
      <c r="G43" s="30"/>
      <c r="H43" s="30">
        <v>3</v>
      </c>
      <c r="I43" s="30"/>
      <c r="J43" s="30"/>
      <c r="K43" s="30"/>
      <c r="L43" s="30"/>
    </row>
    <row r="44" spans="1:12" ht="13.15" customHeight="1">
      <c r="A44" s="11">
        <v>40</v>
      </c>
      <c r="B44" s="11" t="s">
        <v>42</v>
      </c>
      <c r="C44" s="18">
        <v>5</v>
      </c>
      <c r="D44" s="11">
        <v>298</v>
      </c>
      <c r="E44" s="16">
        <v>215</v>
      </c>
      <c r="F44" s="17">
        <f t="shared" si="0"/>
        <v>0.27852348993288589</v>
      </c>
      <c r="G44" s="30">
        <v>5</v>
      </c>
      <c r="H44" s="30">
        <v>3</v>
      </c>
      <c r="I44" s="30"/>
      <c r="J44" s="30">
        <v>2</v>
      </c>
      <c r="K44" s="30">
        <v>3</v>
      </c>
      <c r="L44" s="30"/>
    </row>
    <row r="45" spans="1:12" ht="13.15" customHeight="1">
      <c r="A45" s="11">
        <v>41</v>
      </c>
      <c r="B45" s="11" t="s">
        <v>43</v>
      </c>
      <c r="C45" s="18">
        <v>5</v>
      </c>
      <c r="D45" s="11">
        <v>318</v>
      </c>
      <c r="E45" s="16">
        <v>238</v>
      </c>
      <c r="F45" s="17">
        <f t="shared" si="0"/>
        <v>0.25157232704402521</v>
      </c>
      <c r="G45" s="30">
        <v>5</v>
      </c>
      <c r="H45" s="30"/>
      <c r="I45" s="30">
        <v>5</v>
      </c>
      <c r="J45" s="30">
        <v>4</v>
      </c>
      <c r="K45" s="30"/>
      <c r="L45" s="30"/>
    </row>
    <row r="46" spans="1:12" ht="13.15" customHeight="1">
      <c r="E46" s="22"/>
      <c r="F46" s="22"/>
      <c r="H46" s="23"/>
      <c r="I46" s="24"/>
    </row>
    <row r="47" spans="1:12" ht="15.6" customHeight="1"/>
    <row r="48" spans="1:12" ht="15.6" customHeight="1"/>
    <row r="49" ht="15.6" customHeight="1"/>
    <row r="50" ht="15.6" customHeight="1"/>
  </sheetData>
  <mergeCells count="5">
    <mergeCell ref="G1:H1"/>
    <mergeCell ref="I1:J1"/>
    <mergeCell ref="B2:C2"/>
    <mergeCell ref="D2:F2"/>
    <mergeCell ref="G2:H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印刷・FAX　発注書</vt:lpstr>
      <vt:lpstr>入力　発注書</vt:lpstr>
      <vt:lpstr>仙台高野原店</vt:lpstr>
      <vt:lpstr>栗生4丁目店</vt:lpstr>
      <vt:lpstr>AA</vt:lpstr>
      <vt:lpstr>BB</vt:lpstr>
      <vt:lpstr>A</vt:lpstr>
      <vt:lpstr>B</vt:lpstr>
      <vt:lpstr>仙台上愛子店</vt:lpstr>
      <vt:lpstr>Sheet1</vt:lpstr>
      <vt:lpstr>仙台上愛子店!Print_Area</vt:lpstr>
      <vt:lpstr>'入力　発注書'!Print_Area</vt:lpstr>
      <vt:lpstr>'印刷・FAX　発注書'!Print_Titles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yaoyanomaruka</dc:creator>
  <cp:lastModifiedBy>芳郎 我妻</cp:lastModifiedBy>
  <cp:lastPrinted>2026-07-21T01:38:23Z</cp:lastPrinted>
  <dcterms:created xsi:type="dcterms:W3CDTF">2015-06-05T18:19:34Z</dcterms:created>
  <dcterms:modified xsi:type="dcterms:W3CDTF">2026-07-21T02:32:11Z</dcterms:modified>
</cp:coreProperties>
</file>